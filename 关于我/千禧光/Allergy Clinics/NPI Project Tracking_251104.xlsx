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codeName="ThisWorkbook"/>
  <xr:revisionPtr revIDLastSave="404" documentId="8_{7571B0B5-5ABD-4B86-8793-DDB36841B679}" xr6:coauthVersionLast="47" xr6:coauthVersionMax="47" xr10:uidLastSave="{E201B5B4-496E-4741-BFF5-FC427952A5F0}"/>
  <bookViews>
    <workbookView xWindow="-98" yWindow="-98" windowWidth="21795" windowHeight="12975" xr2:uid="{00000000-000D-0000-FFFF-FFFF00000000}"/>
  </bookViews>
  <sheets>
    <sheet name="Project ACE" sheetId="11" r:id="rId1"/>
    <sheet name="EVENT" sheetId="12" r:id="rId2"/>
  </sheets>
  <definedNames>
    <definedName name="_xlnm._FilterDatabase" localSheetId="1" hidden="1">EVENT!$A$1:$F$13</definedName>
    <definedName name="_xlnm.Print_Titles" localSheetId="0">'Project ACE'!$2:$3</definedName>
    <definedName name="task_end" localSheetId="0">'Project ACE'!$F1</definedName>
    <definedName name="task_progress" localSheetId="0">'Project ACE'!$D1</definedName>
    <definedName name="task_start" localSheetId="0">'Project ACE'!$E1</definedName>
    <definedName name="今天" localSheetId="0">TODAY()</definedName>
    <definedName name="显示周数">'Project ACE'!$E$2</definedName>
    <definedName name="项目开始">'Project ACE'!#REF!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6" i="11" l="1"/>
  <c r="H30" i="11"/>
  <c r="H29" i="11"/>
  <c r="H25" i="11"/>
  <c r="H22" i="11"/>
  <c r="H23" i="11"/>
  <c r="H21" i="11"/>
  <c r="H19" i="11"/>
  <c r="H15" i="11"/>
  <c r="H14" i="11"/>
  <c r="H9" i="11"/>
  <c r="H4" i="11"/>
  <c r="H5" i="11" l="1"/>
  <c r="H20" i="11" l="1"/>
  <c r="H6" i="11"/>
  <c r="H18" i="11"/>
  <c r="H10" i="11"/>
  <c r="H17" i="11" l="1"/>
  <c r="H11" i="11"/>
  <c r="H8" i="11"/>
  <c r="H7" i="11"/>
  <c r="H12" i="11" l="1"/>
  <c r="H13" i="11"/>
</calcChain>
</file>

<file path=xl/sharedStrings.xml><?xml version="1.0" encoding="utf-8"?>
<sst xmlns="http://schemas.openxmlformats.org/spreadsheetml/2006/main" count="193" uniqueCount="102">
  <si>
    <t>在此工作表中创建项目日程安排。
在单元格 B1 中输入此项目的标题。
有关如何使用此工作表（包括屏幕阅读器的说明）以及此工作簿作者的信息包含在“关于”工作表中。
继续向下浏览 A 列，获取进一步指示。</t>
  </si>
  <si>
    <t>单元格 E4 中的显示周数表示单元格 I4 中项目日程安排内显示的起始周数。项目开始日期视为第 1 周。要更改显示周数，只需单元格 E4 中输入新的周数。
从单元格 E4 的显示周数开始，每周的开始日期从单元格 I4 开始并且说自动计算得出的。在该视图中，从单元格 I4 到单元格 BF4 共有 8 周的时间。
请勿修改这些单元格。
显示周数：标签位于单元格 C4 中。</t>
  </si>
  <si>
    <t>此行包含其后面的项目日程安排的标题。
从 B6 浏览到 BL6 以获取内容。该标题上方日期一周中每一天的首字母，从单元格 I6 开始，直到单元格 BL6。
所有项目日程表图表都是根据输入的开始和结束日期使用条件格式自动生成的。
从单元格 I7 开始的列 I 之后，请勿修改列内单元格中的内容。</t>
  </si>
  <si>
    <t>单元格 B8 包含第 1 阶段示例标题。
在单元格 B8 中输入新标题。
如果适用于你的项目，请在单元格 C8 中输入名称以指定阶段。
如果适用于你的项目，请在单元格 D8 中输入整个阶段的进度。
如果适用于你的项目，请在单元格 E8 和 F8 中输入整个阶段的开始和结束日期。
甘特图将根据输入的进度自动填充适当的日期和着色。
要仅从任务中删除阶段和工作，只需删除此行即可。</t>
  </si>
  <si>
    <t xml:space="preserve">单元格 B9 包含示例任务“任务 1”。
在单元格 B9 中输入新的任务名称。
在单元格 C9 中输入任务负责人。
在单元格 D9 中输入任务进度。进度条出现在单元格中，并根据单元格中的数字进行着色。例如，50% 的进度将着色一半的单元格。
在单元格 E9 中输入任务开始日期。
在单元格 F9 中输入任务结束日期。
从单元格 I9 到 BL9 的块中显示输入日期的已着色状态栏。 </t>
  </si>
  <si>
    <t>第 10 行到第 13 行重复第 9 行的模式。
请对此工作表中的所有任务行重复单元格 A9 中的指令。覆盖任何示例数据。
另一个阶段的示例从单元格 A14 开始。
继续在单元格 A10 到 A13 中输入任务或转到单元格 A14 了解详细信息。</t>
  </si>
  <si>
    <t>右侧的单元格包含第 2 阶段示例标题。
可随时在 B 列中创建新阶段。此项目日程安排不需要阶段。要删除阶段，只需删除该行即可。
要在此行中创建新的阶段块，请在右侧的单元格中输入新的标题。
要继续向上述阶段添加任务，请在此行上方输入一个新行，并按照单元格 A9 的指令填写任务数据。
根据单元格 A8 的指令更新右侧单元格中的阶段详细信息。
继续向下浏览 A 列单元格，了解更多信息。
如果尚未在此工作表中添加任何新行，将在单元格 B20 和 B26 中找到已创建的 2 个其他示例阶段块。否则，请浏览 A 列单元格以查找其他块。
在需要时重复单元格 A8 和 A9 的说明进行操作。</t>
  </si>
  <si>
    <t>示例阶段标题块</t>
  </si>
  <si>
    <t>这是一个空行</t>
  </si>
  <si>
    <t>此行标记项目日程安排的结尾。请勿在此行中输入任何内容。
在此行上方插入新行，以继续构建项目日程安排。</t>
  </si>
  <si>
    <t>在此行上方插入新行</t>
  </si>
  <si>
    <t>结束日期</t>
  </si>
  <si>
    <t>天数</t>
  </si>
  <si>
    <t>Allergy Clinics New Product Project</t>
    <phoneticPr fontId="27" type="noConversion"/>
  </si>
  <si>
    <t>2025 Nov</t>
    <phoneticPr fontId="27" type="noConversion"/>
  </si>
  <si>
    <t>Week 1</t>
    <phoneticPr fontId="27" type="noConversion"/>
  </si>
  <si>
    <t>Week 2</t>
    <phoneticPr fontId="27" type="noConversion"/>
  </si>
  <si>
    <t>Week 3</t>
    <phoneticPr fontId="27" type="noConversion"/>
  </si>
  <si>
    <t>Week 4</t>
    <phoneticPr fontId="27" type="noConversion"/>
  </si>
  <si>
    <t>Week 5</t>
    <phoneticPr fontId="27" type="noConversion"/>
  </si>
  <si>
    <t>2025 Dec</t>
    <phoneticPr fontId="27" type="noConversion"/>
  </si>
  <si>
    <t xml:space="preserve">2026 Jan </t>
    <phoneticPr fontId="27" type="noConversion"/>
  </si>
  <si>
    <t>2026 Feb</t>
    <phoneticPr fontId="27" type="noConversion"/>
  </si>
  <si>
    <t>2026 Mar</t>
    <phoneticPr fontId="27" type="noConversion"/>
  </si>
  <si>
    <t xml:space="preserve">2026 Apr </t>
    <phoneticPr fontId="27" type="noConversion"/>
  </si>
  <si>
    <t xml:space="preserve">2026 May </t>
    <phoneticPr fontId="27" type="noConversion"/>
  </si>
  <si>
    <t>2026 Jun</t>
    <phoneticPr fontId="27" type="noConversion"/>
  </si>
  <si>
    <t>Owner</t>
    <phoneticPr fontId="27" type="noConversion"/>
  </si>
  <si>
    <t>New Products</t>
    <phoneticPr fontId="27" type="noConversion"/>
  </si>
  <si>
    <t>Progress</t>
    <phoneticPr fontId="27" type="noConversion"/>
  </si>
  <si>
    <t>开始日期</t>
    <phoneticPr fontId="27" type="noConversion"/>
  </si>
  <si>
    <t>SEV (Sterile Empty Vials)</t>
    <phoneticPr fontId="27" type="noConversion"/>
  </si>
  <si>
    <t>Surgical Skin Marker</t>
    <phoneticPr fontId="27" type="noConversion"/>
  </si>
  <si>
    <t>Sourcing</t>
    <phoneticPr fontId="27" type="noConversion"/>
  </si>
  <si>
    <t>Event Name</t>
    <phoneticPr fontId="27" type="noConversion"/>
  </si>
  <si>
    <t>Remark</t>
    <phoneticPr fontId="27" type="noConversion"/>
  </si>
  <si>
    <t>MEDICA</t>
    <phoneticPr fontId="27" type="noConversion"/>
  </si>
  <si>
    <t>German</t>
    <phoneticPr fontId="27" type="noConversion"/>
  </si>
  <si>
    <t>Allergy Clinics</t>
    <phoneticPr fontId="27" type="noConversion"/>
  </si>
  <si>
    <t>Applied Market</t>
    <phoneticPr fontId="27" type="noConversion"/>
  </si>
  <si>
    <t>Time</t>
    <phoneticPr fontId="27" type="noConversion"/>
  </si>
  <si>
    <t>2026 Nov 13~16</t>
    <phoneticPr fontId="27" type="noConversion"/>
  </si>
  <si>
    <t xml:space="preserve"> 	•产品覆盖：检测设备：全自动免疫印迹仪（如浙大迪迅的 DX-Auto Blot 60）、家用过敏原检测试剂盒（如 Thermo Fisher 的 AccuFLEX）。
	•治疗器械：非药物过敏缓解设备（如 Medisana 的 Medinose 鼻腔光疗仪）、数字化 SLIT 管理系统（如 ALK 的智能给药 APP）。
	• 采购优势：欧洲最大医疗器械采购平台，2025 年过敏设备交易额达€12 亿，其中德国本土企业占 65% 市场份额。</t>
    <phoneticPr fontId="27" type="noConversion"/>
  </si>
  <si>
    <t>The Allergy + Free From Show</t>
    <phoneticPr fontId="27" type="noConversion"/>
  </si>
  <si>
    <t>2026 May 9~10</t>
    <phoneticPr fontId="27" type="noConversion"/>
  </si>
  <si>
    <t xml:space="preserve">	• 产品覆盖：家用设备：抗组胺空气净化器（如 Blueair 的 AllergenShield 系列）、食物过敏检测手环（如 Nima 的便携式传感器）。
	• 创新技术：纳米过滤材料（PM0.3 截留率 99.97%）、AI 驱动的个性化防护方案订阅服务。
	• 采购策略：适合中小型采购商，2025 年线上采购平台交易额增长 78%，支持跨境支付与物流对接。</t>
    <phoneticPr fontId="27" type="noConversion"/>
  </si>
  <si>
    <t>FIME Miami（美国迈阿密国际医疗展）</t>
    <phoneticPr fontId="27" type="noConversion"/>
  </si>
  <si>
    <t>Compounding Pharmacy</t>
    <phoneticPr fontId="27" type="noConversion"/>
  </si>
  <si>
    <t>CPHI Worldwide（德国法兰克福世界制药原料展）</t>
    <phoneticPr fontId="27" type="noConversion"/>
  </si>
  <si>
    <t>2026 Oct</t>
    <phoneticPr fontId="27" type="noConversion"/>
  </si>
  <si>
    <t>AAAAI (American Academy of Allergy, Asthma &amp; Immunology美国过敏、哮喘与免疫学会年会）</t>
    <phoneticPr fontId="27" type="noConversion"/>
  </si>
  <si>
    <t>USA</t>
    <phoneticPr fontId="27" type="noConversion"/>
  </si>
  <si>
    <t>Country</t>
    <phoneticPr fontId="27" type="noConversion"/>
  </si>
  <si>
    <t>City</t>
    <phoneticPr fontId="27" type="noConversion"/>
  </si>
  <si>
    <t>Dusseldorf</t>
  </si>
  <si>
    <t>China</t>
    <phoneticPr fontId="27" type="noConversion"/>
  </si>
  <si>
    <t>CMEF 中国国际医疗器械博览会</t>
    <phoneticPr fontId="27" type="noConversion"/>
  </si>
  <si>
    <t>Birmingham</t>
    <phoneticPr fontId="27" type="noConversion"/>
  </si>
  <si>
    <t>UK</t>
    <phoneticPr fontId="27" type="noConversion"/>
  </si>
  <si>
    <t>TBD</t>
    <phoneticPr fontId="27" type="noConversion"/>
  </si>
  <si>
    <t xml:space="preserve"> Miami</t>
    <phoneticPr fontId="27" type="noConversion"/>
  </si>
  <si>
    <t>Frankfurt</t>
    <phoneticPr fontId="27" type="noConversion"/>
  </si>
  <si>
    <t>上海国家会展中心</t>
    <phoneticPr fontId="27" type="noConversion"/>
  </si>
  <si>
    <t xml:space="preserve"> CACLP（中国国际检验医学暨输血仪器试剂博览会）</t>
    <phoneticPr fontId="27" type="noConversion"/>
  </si>
  <si>
    <t>API China（中国国际医药原料药 / 中间体 / 包装 / 设备交易会）</t>
    <phoneticPr fontId="27" type="noConversion"/>
  </si>
  <si>
    <t>2026 Mar 21~23</t>
    <phoneticPr fontId="27" type="noConversion"/>
  </si>
  <si>
    <t>2026 Apr 9~12</t>
    <phoneticPr fontId="27" type="noConversion"/>
  </si>
  <si>
    <t>厦门国际博览中心</t>
    <phoneticPr fontId="27" type="noConversion"/>
  </si>
  <si>
    <t>CPHI &amp; PMEC China</t>
    <phoneticPr fontId="27" type="noConversion"/>
  </si>
  <si>
    <t xml:space="preserve">2026 Jun </t>
    <phoneticPr fontId="27" type="noConversion"/>
  </si>
  <si>
    <t>上海新国际博览中心</t>
    <phoneticPr fontId="27" type="noConversion"/>
  </si>
  <si>
    <r>
      <t>过敏诊所相关展区：
体外诊断（IVD）区：</t>
    </r>
    <r>
      <rPr>
        <sz val="11"/>
        <color rgb="FFFF0000"/>
        <rFont val="Microsoft YaHei UI"/>
        <family val="2"/>
        <charset val="134"/>
      </rPr>
      <t>过敏原检测系统</t>
    </r>
    <r>
      <rPr>
        <sz val="11"/>
        <color theme="1"/>
        <rFont val="Microsoft YaHei UI"/>
        <family val="2"/>
      </rPr>
      <t>、IgE 检测设备
康复与呼吸治疗区：哮喘管理设备、</t>
    </r>
    <r>
      <rPr>
        <sz val="11"/>
        <color rgb="FFFF0000"/>
        <rFont val="Microsoft YaHei UI"/>
        <family val="2"/>
        <charset val="134"/>
      </rPr>
      <t>鼻腔冲洗系统</t>
    </r>
    <r>
      <rPr>
        <sz val="11"/>
        <color theme="1"/>
        <rFont val="Microsoft YaHei UI"/>
        <family val="2"/>
      </rPr>
      <t xml:space="preserve">
急救设备区：肾上腺素自动注射器、过敏休克急救装置
国际展区：已获 FDA 认证的中外企业集中展示</t>
    </r>
    <phoneticPr fontId="27" type="noConversion"/>
  </si>
  <si>
    <r>
      <t xml:space="preserve">过敏检测专区亮点：
全自动 IgE 检测系统（如邦器生物 BQ-TF6000）
</t>
    </r>
    <r>
      <rPr>
        <sz val="11"/>
        <color rgb="FFFF0000"/>
        <rFont val="Microsoft YaHei UI"/>
        <family val="2"/>
        <charset val="134"/>
      </rPr>
      <t>过敏原点刺测试套装、斑贴试验系列</t>
    </r>
    <r>
      <rPr>
        <sz val="11"/>
        <color theme="1"/>
        <rFont val="Microsoft YaHei UI"/>
        <family val="2"/>
      </rPr>
      <t xml:space="preserve">
快速过敏筛查试剂盒（适合诊所 POCT 应用）
德国展区（N3 展厅）：Mediwiss 敏筛等欧洲高端检测设备</t>
    </r>
    <phoneticPr fontId="27" type="noConversion"/>
  </si>
  <si>
    <r>
      <t xml:space="preserve">过敏相关展区：
</t>
    </r>
    <r>
      <rPr>
        <sz val="11"/>
        <color rgb="FFFF0000"/>
        <rFont val="Microsoft YaHei UI"/>
        <family val="2"/>
        <charset val="134"/>
      </rPr>
      <t>吸入给药系统专区</t>
    </r>
    <r>
      <rPr>
        <sz val="11"/>
        <color theme="1"/>
        <rFont val="Microsoft YaHei UI"/>
        <family val="2"/>
      </rPr>
      <t xml:space="preserve">（如亿索智能的定量吸入器）
注射剂设备区（肾上腺素自动注射器生产线）
</t>
    </r>
    <r>
      <rPr>
        <sz val="11"/>
        <color rgb="FFFF0000"/>
        <rFont val="Microsoft YaHei UI"/>
        <family val="2"/>
        <charset val="134"/>
      </rPr>
      <t>包装技术区</t>
    </r>
    <r>
      <rPr>
        <sz val="11"/>
        <color theme="1"/>
        <rFont val="Microsoft YaHei UI"/>
        <family val="2"/>
      </rPr>
      <t>（过敏原提取物专用储存容器）
无菌生产设备（过敏疫苗生产关键装备）</t>
    </r>
    <phoneticPr fontId="27" type="noConversion"/>
  </si>
  <si>
    <r>
      <t>复合药房相关展区：
医用耗材专区（5.2、6.2 号馆）：</t>
    </r>
    <r>
      <rPr>
        <sz val="11"/>
        <color rgb="FFFF0000"/>
        <rFont val="Microsoft YaHei UI"/>
        <family val="2"/>
        <charset val="134"/>
      </rPr>
      <t>注射器、针头、手套、洁净服、消毒产品</t>
    </r>
    <r>
      <rPr>
        <sz val="11"/>
        <color theme="1"/>
        <rFont val="Microsoft YaHei UI"/>
        <family val="2"/>
      </rPr>
      <t>等低值耗材集中展示
医疗防护与感染控制专区：</t>
    </r>
    <r>
      <rPr>
        <sz val="11"/>
        <color rgb="FFFF0000"/>
        <rFont val="Microsoft YaHei UI"/>
        <family val="2"/>
        <charset val="134"/>
      </rPr>
      <t>防护面罩</t>
    </r>
    <r>
      <rPr>
        <sz val="11"/>
        <color theme="1"/>
        <rFont val="Microsoft YaHei UI"/>
        <family val="2"/>
      </rPr>
      <t>、CSTD 封闭系统、生物安全柜配套产品
IVD 与实验室设备区：药物配制质量控制设备与耗材</t>
    </r>
    <phoneticPr fontId="27" type="noConversion"/>
  </si>
  <si>
    <r>
      <t>复合药房价值点：
药用包装与容器专区：</t>
    </r>
    <r>
      <rPr>
        <sz val="11"/>
        <color rgb="FFFF0000"/>
        <rFont val="Microsoft YaHei UI"/>
        <family val="2"/>
        <charset val="134"/>
      </rPr>
      <t>西林瓶</t>
    </r>
    <r>
      <rPr>
        <sz val="11"/>
        <color theme="1"/>
        <rFont val="Microsoft YaHei UI"/>
        <family val="2"/>
      </rPr>
      <t>、安瓿瓶、</t>
    </r>
    <r>
      <rPr>
        <sz val="11"/>
        <color rgb="FFFF0000"/>
        <rFont val="Microsoft YaHei UI"/>
        <family val="2"/>
        <charset val="134"/>
      </rPr>
      <t>预灌封注射器</t>
    </r>
    <r>
      <rPr>
        <sz val="11"/>
        <color theme="1"/>
        <rFont val="Microsoft YaHei UI"/>
        <family val="2"/>
      </rPr>
      <t>等
制药设备区：</t>
    </r>
    <r>
      <rPr>
        <sz val="11"/>
        <color rgb="FFFF0000"/>
        <rFont val="Microsoft YaHei UI"/>
        <family val="2"/>
        <charset val="134"/>
      </rPr>
      <t>无菌配制设备</t>
    </r>
    <r>
      <rPr>
        <sz val="11"/>
        <color theme="1"/>
        <rFont val="Microsoft YaHei UI"/>
        <family val="2"/>
      </rPr>
      <t>、</t>
    </r>
    <r>
      <rPr>
        <sz val="11"/>
        <color rgb="FFFF0000"/>
        <rFont val="Microsoft YaHei UI"/>
        <family val="2"/>
        <charset val="134"/>
      </rPr>
      <t>洁净室技术</t>
    </r>
    <r>
      <rPr>
        <sz val="11"/>
        <color theme="1"/>
        <rFont val="Microsoft YaHei UI"/>
        <family val="2"/>
      </rPr>
      <t>、自动化复合系统
辅料与添加剂专区：复合药房配方原料，符合 USP 标准</t>
    </r>
    <phoneticPr fontId="27" type="noConversion"/>
  </si>
  <si>
    <r>
      <t>复合药房关注点：
医药包装材料专区：</t>
    </r>
    <r>
      <rPr>
        <sz val="11"/>
        <color rgb="FFFF0000"/>
        <rFont val="Microsoft YaHei UI"/>
        <family val="2"/>
        <charset val="134"/>
      </rPr>
      <t>药用玻璃、塑料容器、密封件，符合 USP&lt;797&gt; 标准</t>
    </r>
    <r>
      <rPr>
        <sz val="11"/>
        <color theme="1"/>
        <rFont val="Microsoft YaHei UI"/>
        <family val="2"/>
      </rPr>
      <t xml:space="preserve">
制药用水与纯化系统：复合药房用水设备与耗材
洁净室技术专区：</t>
    </r>
    <r>
      <rPr>
        <sz val="11"/>
        <color rgb="FFFF0000"/>
        <rFont val="Microsoft YaHei UI"/>
        <family val="2"/>
        <charset val="134"/>
      </rPr>
      <t>洁净服、手套、消毒产品，满足 USP&lt;800&gt; 防护要求</t>
    </r>
    <phoneticPr fontId="27" type="noConversion"/>
  </si>
  <si>
    <t>Product Define</t>
  </si>
  <si>
    <t>Product Define</t>
    <phoneticPr fontId="27" type="noConversion"/>
  </si>
  <si>
    <t>Alex</t>
  </si>
  <si>
    <t>Alex</t>
    <phoneticPr fontId="27" type="noConversion"/>
  </si>
  <si>
    <t>Michelle</t>
  </si>
  <si>
    <t>Michelle</t>
    <phoneticPr fontId="27" type="noConversion"/>
  </si>
  <si>
    <t>RA</t>
  </si>
  <si>
    <t>RA</t>
    <phoneticPr fontId="27" type="noConversion"/>
  </si>
  <si>
    <t>Sourcing</t>
  </si>
  <si>
    <t>找到一家类似的整包厂家,瓶身，瓶盖，瓶帽，外盖，产品尺寸等与实际样品进行比对</t>
    <phoneticPr fontId="27" type="noConversion"/>
  </si>
  <si>
    <t>Moven</t>
    <phoneticPr fontId="27" type="noConversion"/>
  </si>
  <si>
    <t>目前找到的都是化妆品认证，无DMF认证，需要看看药包材供应商</t>
    <phoneticPr fontId="27" type="noConversion"/>
  </si>
  <si>
    <t>找到东莞和晨光两家符合资质的供应商，东莞已报价约两毛钱</t>
    <phoneticPr fontId="27" type="noConversion"/>
  </si>
  <si>
    <t>Glass Bottle with Dropper Tip</t>
    <phoneticPr fontId="27" type="noConversion"/>
  </si>
  <si>
    <t>Sample Products</t>
  </si>
  <si>
    <t>Sample Products</t>
    <phoneticPr fontId="27" type="noConversion"/>
  </si>
  <si>
    <t>Plasti/Glassc Bottle with Metered Dose</t>
    <phoneticPr fontId="27" type="noConversion"/>
  </si>
  <si>
    <t>Natural Plastic Bottle with Cap/Metered Dose
Dropper Tip</t>
    <phoneticPr fontId="27" type="noConversion"/>
  </si>
  <si>
    <t>已找到了一个很像的产品，打开方式有所不同，需要再确认一下，以及和样品进行比较</t>
    <phoneticPr fontId="27" type="noConversion"/>
  </si>
  <si>
    <t>已找到了一个很像的产品，需要和样品进行比较</t>
    <phoneticPr fontId="27" type="noConversion"/>
  </si>
  <si>
    <r>
      <t>美国过敏医学 "奥斯卡"，FDA 认证产品集中展示，直接接触美国过敏诊所决策者
• 产品覆盖：</t>
    </r>
    <r>
      <rPr>
        <sz val="11"/>
        <color rgb="FFFF0000"/>
        <rFont val="Microsoft YaHei UI"/>
        <family val="2"/>
        <charset val="134"/>
      </rPr>
      <t>皮肤点刺测试设备（如 Lincoln Diagnostics 的 Multi-Test II）</t>
    </r>
    <r>
      <rPr>
        <sz val="11"/>
        <color theme="1"/>
        <rFont val="Microsoft YaHei UI"/>
        <family val="2"/>
      </rPr>
      <t>、血清学检测仪器（如 Thermo Fisher 的 ImmunoCAP）、肾上腺素自动注射器（如 ALK 的 Jext）。
	• 采购机会：公立医疗机构（如 VA 医院）集中采购 SLIT 相关耗材，2025 年采购量年增 18%。
	• 行业趋势：展示 AI 驱动的过敏原实时监测系统（如 Withings Air Monitor），可联动智能可穿戴设备预警过敏风险。</t>
    </r>
    <phoneticPr fontId="27" type="noConversion"/>
  </si>
  <si>
    <r>
      <t>美国本土最大医疗器械展，直接接触美国复合药房采购商
展区重点：
医用耗材专区（</t>
    </r>
    <r>
      <rPr>
        <sz val="11"/>
        <color rgb="FFFF0000"/>
        <rFont val="Microsoft YaHei UI"/>
        <family val="2"/>
        <charset val="134"/>
      </rPr>
      <t>注射器、针头、手套等低值耗材</t>
    </r>
    <r>
      <rPr>
        <sz val="11"/>
        <color theme="1"/>
        <rFont val="Microsoft YaHei UI"/>
        <family val="2"/>
      </rPr>
      <t xml:space="preserve">）
药房自动化与配药系统（复合设备核心区）
</t>
    </r>
    <r>
      <rPr>
        <sz val="11"/>
        <color rgb="FFFF0000"/>
        <rFont val="Microsoft YaHei UI"/>
        <family val="2"/>
        <charset val="134"/>
      </rPr>
      <t>感染控制与防护产品（USP&lt;800&gt; 合规专区）</t>
    </r>
    <r>
      <rPr>
        <sz val="11"/>
        <color theme="1"/>
        <rFont val="Microsoft YaHei UI"/>
        <family val="2"/>
      </rPr>
      <t xml:space="preserve">
优势：美国本土买家密度最高，FDA 认证咨询服务现场提供，可直接建立美国市场渠道</t>
    </r>
    <phoneticPr fontId="27" type="noConversion"/>
  </si>
  <si>
    <r>
      <t>全球制药产业链盛会，药用包装和设备供应商集中）
展区重点：
药用包装材料专区（</t>
    </r>
    <r>
      <rPr>
        <sz val="11"/>
        <color rgb="FFFF0000"/>
        <rFont val="Microsoft YaHei UI"/>
        <family val="2"/>
        <charset val="134"/>
      </rPr>
      <t>西林瓶、安瓿瓶</t>
    </r>
    <r>
      <rPr>
        <sz val="11"/>
        <color theme="1"/>
        <rFont val="Microsoft YaHei UI"/>
        <family val="2"/>
      </rPr>
      <t>、预灌封注射器）
无菌配制设备与技术（生物安全柜、</t>
    </r>
    <r>
      <rPr>
        <sz val="11"/>
        <color rgb="FFFF0000"/>
        <rFont val="Microsoft YaHei UI"/>
        <family val="2"/>
        <charset val="134"/>
      </rPr>
      <t>洁净室解决方案</t>
    </r>
    <r>
      <rPr>
        <sz val="11"/>
        <color theme="1"/>
        <rFont val="Microsoft YaHei UI"/>
        <family val="2"/>
      </rPr>
      <t>）
制药用水与纯化系统（复合药房必备）
优势：欧洲及全球供应商云集，国际认证咨询服务丰富，适合寻找高端 USP 标准产品</t>
    </r>
    <phoneticPr fontId="27" type="noConversion"/>
  </si>
  <si>
    <r>
      <t>全球医疗设备第一展，耗材与设备一站式采购）
展区重点：
COMPAMED 专区（</t>
    </r>
    <r>
      <rPr>
        <sz val="11"/>
        <color rgb="FFFF0000"/>
        <rFont val="Microsoft YaHei UI"/>
        <family val="2"/>
        <charset val="134"/>
      </rPr>
      <t>医疗器械零部件、OEM 供应商</t>
    </r>
    <r>
      <rPr>
        <sz val="11"/>
        <color theme="1"/>
        <rFont val="Microsoft YaHei UI"/>
        <family val="2"/>
      </rPr>
      <t>）
医用耗材与一次性用品（</t>
    </r>
    <r>
      <rPr>
        <sz val="11"/>
        <color rgb="FFFF0000"/>
        <rFont val="Microsoft YaHei UI"/>
        <family val="2"/>
        <charset val="134"/>
      </rPr>
      <t>注射器、手套等低值耗材</t>
    </r>
    <r>
      <rPr>
        <sz val="11"/>
        <color theme="1"/>
        <rFont val="Microsoft YaHei UI"/>
        <family val="2"/>
      </rPr>
      <t>）
药房自动化与 IT 系统（复合药房智能化解决方案）
优势：欧洲最大医疗展会，技术创新展示丰富，供应链上游供应商集中</t>
    </r>
    <phoneticPr fontId="27" type="noConversion"/>
  </si>
  <si>
    <t>Cost calculation and confirm</t>
    <phoneticPr fontId="2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</si>
</sst>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2" formatCode="_ &quot;¥&quot;* #,##0_ ;_ &quot;¥&quot;* \-#,##0_ ;_ &quot;¥&quot;* &quot;-&quot;_ ;_ @_ "/>
    <numFmt numFmtId="44" formatCode="_ &quot;¥&quot;* #,##0.00_ ;_ &quot;¥&quot;* \-#,##0.00_ ;_ &quot;¥&quot;* &quot;-&quot;??_ ;_ @_ "/>
    <numFmt numFmtId="176" formatCode="_(* #,##0_);_(* \(#,##0\);_(* &quot;-&quot;_);_(@_)"/>
    <numFmt numFmtId="177" formatCode="_(* #,##0.00_);_(* \(#,##0.00\);_(* &quot;-&quot;??_);_(@_)"/>
    <numFmt numFmtId="178" formatCode="m/d/yy;@"/>
    <numFmt numFmtId="179" formatCode="[DBNum1][$-804]yyyy&quot;年&quot;m&quot;月&quot;;@"/>
    <numFmt numFmtId="180" formatCode="yyyy/m/d\,\ aaaa"/>
  </numFmts>
  <fonts count="30" x14ac:knownFonts="1">
    <font>
      <sz val="11"/>
      <color theme="1"/>
      <name val="Microsoft YaHei UI"/>
      <family val="2"/>
    </font>
    <font>
      <sz val="11"/>
      <color theme="1"/>
      <name val="Microsoft YaHei UI"/>
      <family val="2"/>
    </font>
    <font>
      <sz val="11"/>
      <color theme="0"/>
      <name val="Microsoft YaHei UI"/>
      <family val="2"/>
    </font>
    <font>
      <sz val="11"/>
      <color rgb="FF9C0006"/>
      <name val="Microsoft YaHei UI"/>
      <family val="2"/>
    </font>
    <font>
      <b/>
      <sz val="11"/>
      <color rgb="FFFA7D00"/>
      <name val="Microsoft YaHei UI"/>
      <family val="2"/>
    </font>
    <font>
      <b/>
      <sz val="11"/>
      <color theme="0"/>
      <name val="Microsoft YaHei UI"/>
      <family val="2"/>
    </font>
    <font>
      <i/>
      <sz val="11"/>
      <color rgb="FF7F7F7F"/>
      <name val="Microsoft YaHei UI"/>
      <family val="2"/>
    </font>
    <font>
      <u/>
      <sz val="11"/>
      <color theme="11"/>
      <name val="Microsoft YaHei UI"/>
      <family val="2"/>
    </font>
    <font>
      <sz val="11"/>
      <color rgb="FF006100"/>
      <name val="Microsoft YaHei UI"/>
      <family val="2"/>
    </font>
    <font>
      <sz val="14"/>
      <color theme="1"/>
      <name val="Microsoft YaHei UI"/>
      <family val="2"/>
    </font>
    <font>
      <b/>
      <sz val="11"/>
      <color theme="3"/>
      <name val="Microsoft YaHei UI"/>
      <family val="2"/>
    </font>
    <font>
      <u/>
      <sz val="11"/>
      <color indexed="12"/>
      <name val="Microsoft YaHei UI"/>
      <family val="2"/>
    </font>
    <font>
      <sz val="11"/>
      <color rgb="FF3F3F76"/>
      <name val="Microsoft YaHei UI"/>
      <family val="2"/>
    </font>
    <font>
      <sz val="11"/>
      <color rgb="FFFA7D00"/>
      <name val="Microsoft YaHei UI"/>
      <family val="2"/>
    </font>
    <font>
      <sz val="11"/>
      <color rgb="FF9C5700"/>
      <name val="Microsoft YaHei UI"/>
      <family val="2"/>
    </font>
    <font>
      <b/>
      <sz val="11"/>
      <color rgb="FF3F3F3F"/>
      <name val="Microsoft YaHei UI"/>
      <family val="2"/>
    </font>
    <font>
      <b/>
      <sz val="22"/>
      <color theme="1" tint="0.34998626667073579"/>
      <name val="Microsoft YaHei UI"/>
      <family val="2"/>
    </font>
    <font>
      <b/>
      <sz val="11"/>
      <color theme="1"/>
      <name val="Microsoft YaHei UI"/>
      <family val="2"/>
    </font>
    <font>
      <sz val="11"/>
      <color rgb="FFFF0000"/>
      <name val="Microsoft YaHei UI"/>
      <family val="2"/>
    </font>
    <font>
      <b/>
      <sz val="20"/>
      <color theme="4" tint="-0.249977111117893"/>
      <name val="Microsoft YaHei UI"/>
      <family val="2"/>
    </font>
    <font>
      <sz val="10"/>
      <name val="Microsoft YaHei UI"/>
      <family val="2"/>
    </font>
    <font>
      <b/>
      <sz val="9"/>
      <color theme="0"/>
      <name val="Microsoft YaHei UI"/>
      <family val="2"/>
    </font>
    <font>
      <sz val="8"/>
      <color theme="0"/>
      <name val="Microsoft YaHei UI"/>
      <family val="2"/>
    </font>
    <font>
      <sz val="11"/>
      <name val="Microsoft YaHei UI"/>
      <family val="2"/>
    </font>
    <font>
      <i/>
      <sz val="9"/>
      <color theme="1"/>
      <name val="Microsoft YaHei UI"/>
      <family val="2"/>
    </font>
    <font>
      <sz val="10"/>
      <color theme="1" tint="0.499984740745262"/>
      <name val="Microsoft YaHei UI"/>
      <family val="2"/>
    </font>
    <font>
      <b/>
      <sz val="11"/>
      <color theme="1" tint="0.499984740745262"/>
      <name val="Microsoft YaHei UI"/>
      <family val="2"/>
    </font>
    <font>
      <sz val="9"/>
      <name val="宋体"/>
      <family val="3"/>
      <charset val="134"/>
    </font>
    <font>
      <sz val="11"/>
      <color rgb="FFFF0000"/>
      <name val="Microsoft YaHei UI"/>
      <family val="2"/>
      <charset val="134"/>
    </font>
    <font>
      <b/>
      <sz val="11"/>
      <color theme="1"/>
      <name val="Microsoft YaHei UI"/>
      <family val="2"/>
      <charset val="134"/>
    </font>
  </fonts>
  <fills count="47">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theme="8" tint="0.59999389629810485"/>
        <bgColor indexed="64"/>
      </patternFill>
    </fill>
  </fills>
  <borders count="14">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54">
    <xf numFmtId="0" fontId="0" fillId="0" borderId="0"/>
    <xf numFmtId="0" fontId="11" fillId="0" borderId="0" applyNumberFormat="0" applyFill="0" applyBorder="0" applyAlignment="0" applyProtection="0">
      <alignment vertical="top"/>
      <protection locked="0"/>
    </xf>
    <xf numFmtId="9" fontId="1" fillId="0" borderId="0" applyFont="0" applyFill="0" applyBorder="0" applyAlignment="0" applyProtection="0"/>
    <xf numFmtId="0" fontId="2" fillId="0" borderId="0"/>
    <xf numFmtId="177" fontId="1" fillId="0" borderId="3" applyFont="0" applyFill="0" applyAlignment="0" applyProtection="0"/>
    <xf numFmtId="0" fontId="16" fillId="0" borderId="0" applyNumberFormat="0" applyFill="0" applyBorder="0" applyAlignment="0" applyProtection="0"/>
    <xf numFmtId="0" fontId="9" fillId="0" borderId="0" applyNumberFormat="0" applyFill="0" applyAlignment="0" applyProtection="0"/>
    <xf numFmtId="0" fontId="9" fillId="0" borderId="0" applyNumberFormat="0" applyFill="0" applyProtection="0">
      <alignment vertical="top"/>
    </xf>
    <xf numFmtId="0" fontId="1" fillId="0" borderId="0" applyNumberFormat="0" applyFill="0" applyProtection="0">
      <alignment horizontal="right" indent="1"/>
    </xf>
    <xf numFmtId="180" fontId="1" fillId="0" borderId="3">
      <alignment horizontal="center" vertical="center"/>
    </xf>
    <xf numFmtId="178" fontId="1" fillId="0" borderId="2" applyFill="0">
      <alignment horizontal="center" vertical="center"/>
    </xf>
    <xf numFmtId="0" fontId="1" fillId="0" borderId="2" applyFill="0">
      <alignment horizontal="center" vertical="center"/>
    </xf>
    <xf numFmtId="0" fontId="1" fillId="0" borderId="2" applyFill="0">
      <alignment horizontal="left" vertical="center" indent="2"/>
    </xf>
    <xf numFmtId="0" fontId="7" fillId="0" borderId="0" applyNumberFormat="0" applyFill="0" applyBorder="0" applyAlignment="0" applyProtection="0"/>
    <xf numFmtId="176"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0" fontId="10" fillId="0" borderId="0" applyNumberFormat="0" applyFill="0" applyBorder="0" applyAlignment="0" applyProtection="0"/>
    <xf numFmtId="0" fontId="8" fillId="14" borderId="0" applyNumberFormat="0" applyBorder="0" applyAlignment="0" applyProtection="0"/>
    <xf numFmtId="0" fontId="3" fillId="15" borderId="0" applyNumberFormat="0" applyBorder="0" applyAlignment="0" applyProtection="0"/>
    <xf numFmtId="0" fontId="14" fillId="16" borderId="0" applyNumberFormat="0" applyBorder="0" applyAlignment="0" applyProtection="0"/>
    <xf numFmtId="0" fontId="12" fillId="17" borderId="7" applyNumberFormat="0" applyAlignment="0" applyProtection="0"/>
    <xf numFmtId="0" fontId="15" fillId="18" borderId="8" applyNumberFormat="0" applyAlignment="0" applyProtection="0"/>
    <xf numFmtId="0" fontId="4" fillId="18" borderId="7" applyNumberFormat="0" applyAlignment="0" applyProtection="0"/>
    <xf numFmtId="0" fontId="13" fillId="0" borderId="9" applyNumberFormat="0" applyFill="0" applyAlignment="0" applyProtection="0"/>
    <xf numFmtId="0" fontId="5" fillId="19" borderId="10" applyNumberFormat="0" applyAlignment="0" applyProtection="0"/>
    <xf numFmtId="0" fontId="18" fillId="0" borderId="0" applyNumberFormat="0" applyFill="0" applyBorder="0" applyAlignment="0" applyProtection="0"/>
    <xf numFmtId="0" fontId="1" fillId="20" borderId="11" applyNumberFormat="0" applyFont="0" applyAlignment="0" applyProtection="0"/>
    <xf numFmtId="0" fontId="6" fillId="0" borderId="0" applyNumberFormat="0" applyFill="0" applyBorder="0" applyAlignment="0" applyProtection="0"/>
    <xf numFmtId="0" fontId="17" fillId="0" borderId="12" applyNumberFormat="0" applyFill="0" applyAlignment="0" applyProtection="0"/>
    <xf numFmtId="0" fontId="2"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2"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2"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2"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2" fillId="41"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cellStyleXfs>
  <cellXfs count="85">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0" fillId="0" borderId="6" xfId="0" applyBorder="1" applyAlignment="1">
      <alignment vertical="center"/>
    </xf>
    <xf numFmtId="0" fontId="0" fillId="0" borderId="6" xfId="0" applyBorder="1" applyAlignment="1">
      <alignment horizontal="right" vertical="center"/>
    </xf>
    <xf numFmtId="0" fontId="0" fillId="2" borderId="6" xfId="0" applyFill="1" applyBorder="1" applyAlignment="1">
      <alignment vertical="center"/>
    </xf>
    <xf numFmtId="0" fontId="2" fillId="0" borderId="0" xfId="3"/>
    <xf numFmtId="0" fontId="2" fillId="0" borderId="0" xfId="3" applyAlignment="1">
      <alignment wrapText="1"/>
    </xf>
    <xf numFmtId="0" fontId="16" fillId="0" borderId="0" xfId="5" applyAlignment="1">
      <alignment horizontal="left"/>
    </xf>
    <xf numFmtId="0" fontId="1" fillId="8" borderId="2" xfId="11" applyFill="1">
      <alignment horizontal="center" vertical="center"/>
    </xf>
    <xf numFmtId="0" fontId="1" fillId="3" borderId="2" xfId="11" applyFill="1">
      <alignment horizontal="center" vertical="center"/>
    </xf>
    <xf numFmtId="0" fontId="1" fillId="9" borderId="2" xfId="11" applyFill="1">
      <alignment horizontal="center" vertical="center"/>
    </xf>
    <xf numFmtId="0" fontId="1" fillId="4" borderId="2" xfId="11" applyFill="1">
      <alignment horizontal="center" vertical="center"/>
    </xf>
    <xf numFmtId="0" fontId="1" fillId="6" borderId="2" xfId="11" applyFill="1">
      <alignment horizontal="center" vertical="center"/>
    </xf>
    <xf numFmtId="0" fontId="1" fillId="11" borderId="2" xfId="11" applyFill="1">
      <alignment horizontal="center" vertical="center"/>
    </xf>
    <xf numFmtId="0" fontId="1" fillId="5" borderId="2" xfId="11" applyFill="1">
      <alignment horizontal="center" vertical="center"/>
    </xf>
    <xf numFmtId="0" fontId="1" fillId="10" borderId="2" xfId="11" applyFill="1">
      <alignment horizontal="center" vertical="center"/>
    </xf>
    <xf numFmtId="0" fontId="1" fillId="0" borderId="2" xfId="11">
      <alignment horizontal="center" vertical="center"/>
    </xf>
    <xf numFmtId="0" fontId="1" fillId="3" borderId="2" xfId="12" applyFill="1">
      <alignment horizontal="left" vertical="center" indent="2"/>
    </xf>
    <xf numFmtId="0" fontId="1" fillId="4" borderId="2" xfId="12" applyFill="1">
      <alignment horizontal="left" vertical="center" indent="2"/>
    </xf>
    <xf numFmtId="0" fontId="1" fillId="11" borderId="2" xfId="12" applyFill="1">
      <alignment horizontal="left" vertical="center" indent="2"/>
    </xf>
    <xf numFmtId="0" fontId="1" fillId="10" borderId="2" xfId="12" applyFill="1">
      <alignment horizontal="left" vertical="center" indent="2"/>
    </xf>
    <xf numFmtId="0" fontId="1" fillId="0" borderId="2" xfId="12">
      <alignment horizontal="left" vertical="center" indent="2"/>
    </xf>
    <xf numFmtId="0" fontId="19" fillId="0" borderId="0" xfId="0" applyFont="1" applyAlignment="1">
      <alignment horizontal="left"/>
    </xf>
    <xf numFmtId="0" fontId="20" fillId="0" borderId="0" xfId="0" applyFont="1"/>
    <xf numFmtId="0" fontId="20" fillId="0" borderId="0" xfId="0" applyFont="1" applyAlignment="1">
      <alignment horizontal="center"/>
    </xf>
    <xf numFmtId="0" fontId="20" fillId="0" borderId="0" xfId="0" applyFont="1" applyAlignment="1">
      <alignment horizontal="center" vertical="center"/>
    </xf>
    <xf numFmtId="0" fontId="21" fillId="13" borderId="1" xfId="0" applyFont="1" applyFill="1" applyBorder="1" applyAlignment="1">
      <alignment horizontal="center" vertical="center" wrapText="1"/>
    </xf>
    <xf numFmtId="0" fontId="22" fillId="12" borderId="5" xfId="0" applyFont="1" applyFill="1" applyBorder="1" applyAlignment="1">
      <alignment horizontal="center" vertical="center" shrinkToFit="1"/>
    </xf>
    <xf numFmtId="0" fontId="17" fillId="8" borderId="2" xfId="0" applyFont="1" applyFill="1" applyBorder="1" applyAlignment="1">
      <alignment horizontal="left" vertical="center" indent="1"/>
    </xf>
    <xf numFmtId="9" fontId="23" fillId="8" borderId="2" xfId="2" applyFont="1" applyFill="1" applyBorder="1" applyAlignment="1">
      <alignment horizontal="center" vertical="center"/>
    </xf>
    <xf numFmtId="0" fontId="23" fillId="0" borderId="2" xfId="0" applyFont="1" applyBorder="1" applyAlignment="1">
      <alignment horizontal="center" vertical="center"/>
    </xf>
    <xf numFmtId="9" fontId="23" fillId="3" borderId="2" xfId="2" applyFont="1" applyFill="1" applyBorder="1" applyAlignment="1">
      <alignment horizontal="center" vertical="center"/>
    </xf>
    <xf numFmtId="0" fontId="17" fillId="9" borderId="2" xfId="0" applyFont="1" applyFill="1" applyBorder="1" applyAlignment="1">
      <alignment horizontal="left" vertical="center" indent="1"/>
    </xf>
    <xf numFmtId="9" fontId="23" fillId="9" borderId="2" xfId="2" applyFont="1" applyFill="1" applyBorder="1" applyAlignment="1">
      <alignment horizontal="center" vertical="center"/>
    </xf>
    <xf numFmtId="9" fontId="23" fillId="4" borderId="2" xfId="2" applyFont="1" applyFill="1" applyBorder="1" applyAlignment="1">
      <alignment horizontal="center" vertical="center"/>
    </xf>
    <xf numFmtId="0" fontId="17" fillId="6" borderId="2" xfId="0" applyFont="1" applyFill="1" applyBorder="1" applyAlignment="1">
      <alignment horizontal="left" vertical="center" indent="1"/>
    </xf>
    <xf numFmtId="9" fontId="23" fillId="6" borderId="2" xfId="2" applyFont="1" applyFill="1" applyBorder="1" applyAlignment="1">
      <alignment horizontal="center" vertical="center"/>
    </xf>
    <xf numFmtId="9" fontId="23" fillId="11" borderId="2" xfId="2" applyFont="1" applyFill="1" applyBorder="1" applyAlignment="1">
      <alignment horizontal="center" vertical="center"/>
    </xf>
    <xf numFmtId="9" fontId="23" fillId="5" borderId="2" xfId="2" applyFont="1" applyFill="1" applyBorder="1" applyAlignment="1">
      <alignment horizontal="center" vertical="center"/>
    </xf>
    <xf numFmtId="9" fontId="23" fillId="10" borderId="2" xfId="2" applyFont="1" applyFill="1" applyBorder="1" applyAlignment="1">
      <alignment horizontal="center" vertical="center"/>
    </xf>
    <xf numFmtId="9" fontId="23" fillId="0" borderId="2" xfId="2" applyFont="1" applyBorder="1" applyAlignment="1">
      <alignment horizontal="center" vertical="center"/>
    </xf>
    <xf numFmtId="179" fontId="1" fillId="0" borderId="2" xfId="10" applyNumberFormat="1">
      <alignment horizontal="center" vertical="center"/>
    </xf>
    <xf numFmtId="0" fontId="24" fillId="2" borderId="2" xfId="0" applyFont="1" applyFill="1" applyBorder="1" applyAlignment="1">
      <alignment horizontal="left" vertical="center" indent="1"/>
    </xf>
    <xf numFmtId="0" fontId="24" fillId="2" borderId="2" xfId="0" applyFont="1" applyFill="1" applyBorder="1" applyAlignment="1">
      <alignment horizontal="center" vertical="center"/>
    </xf>
    <xf numFmtId="9" fontId="23" fillId="2" borderId="2" xfId="2" applyFont="1" applyFill="1" applyBorder="1" applyAlignment="1">
      <alignment horizontal="center" vertical="center"/>
    </xf>
    <xf numFmtId="179" fontId="25" fillId="2" borderId="2" xfId="0" applyNumberFormat="1" applyFont="1" applyFill="1" applyBorder="1" applyAlignment="1">
      <alignment horizontal="left" vertical="center"/>
    </xf>
    <xf numFmtId="179" fontId="23" fillId="2" borderId="2" xfId="0" applyNumberFormat="1" applyFont="1" applyFill="1" applyBorder="1" applyAlignment="1">
      <alignment horizontal="center" vertical="center"/>
    </xf>
    <xf numFmtId="0" fontId="23" fillId="2" borderId="2" xfId="0" applyFont="1" applyFill="1" applyBorder="1" applyAlignment="1">
      <alignment horizontal="center" vertical="center"/>
    </xf>
    <xf numFmtId="0" fontId="26" fillId="0" borderId="0" xfId="0" applyFont="1"/>
    <xf numFmtId="0" fontId="2" fillId="0" borderId="0" xfId="0" applyFont="1" applyAlignment="1">
      <alignment horizontal="center"/>
    </xf>
    <xf numFmtId="0" fontId="25" fillId="0" borderId="0" xfId="1" applyFont="1" applyAlignment="1" applyProtection="1"/>
    <xf numFmtId="178" fontId="0" fillId="8" borderId="2" xfId="0" applyNumberFormat="1" applyFill="1" applyBorder="1" applyAlignment="1">
      <alignment horizontal="center" vertical="center"/>
    </xf>
    <xf numFmtId="178" fontId="23" fillId="8" borderId="2" xfId="0" applyNumberFormat="1" applyFont="1" applyFill="1" applyBorder="1" applyAlignment="1">
      <alignment horizontal="center" vertical="center"/>
    </xf>
    <xf numFmtId="178" fontId="1" fillId="3" borderId="2" xfId="10" applyFill="1">
      <alignment horizontal="center" vertical="center"/>
    </xf>
    <xf numFmtId="178" fontId="0" fillId="9" borderId="2" xfId="0" applyNumberFormat="1" applyFill="1" applyBorder="1" applyAlignment="1">
      <alignment horizontal="center" vertical="center"/>
    </xf>
    <xf numFmtId="178" fontId="23" fillId="9" borderId="2" xfId="0" applyNumberFormat="1" applyFont="1" applyFill="1" applyBorder="1" applyAlignment="1">
      <alignment horizontal="center" vertical="center"/>
    </xf>
    <xf numFmtId="178" fontId="1" fillId="4" borderId="2" xfId="10" applyFill="1">
      <alignment horizontal="center" vertical="center"/>
    </xf>
    <xf numFmtId="178" fontId="0" fillId="6" borderId="2" xfId="0" applyNumberFormat="1" applyFill="1" applyBorder="1" applyAlignment="1">
      <alignment horizontal="center" vertical="center"/>
    </xf>
    <xf numFmtId="178" fontId="23" fillId="6" borderId="2" xfId="0" applyNumberFormat="1" applyFont="1" applyFill="1" applyBorder="1" applyAlignment="1">
      <alignment horizontal="center" vertical="center"/>
    </xf>
    <xf numFmtId="178" fontId="1" fillId="11" borderId="2" xfId="10" applyFill="1">
      <alignment horizontal="center" vertical="center"/>
    </xf>
    <xf numFmtId="178" fontId="0" fillId="5" borderId="2" xfId="0" applyNumberFormat="1" applyFill="1" applyBorder="1" applyAlignment="1">
      <alignment horizontal="center" vertical="center"/>
    </xf>
    <xf numFmtId="178" fontId="23" fillId="5" borderId="2" xfId="0" applyNumberFormat="1" applyFont="1" applyFill="1" applyBorder="1" applyAlignment="1">
      <alignment horizontal="center" vertical="center"/>
    </xf>
    <xf numFmtId="178" fontId="1" fillId="10" borderId="2" xfId="10" applyFill="1">
      <alignment horizontal="center" vertical="center"/>
    </xf>
    <xf numFmtId="0" fontId="21" fillId="13" borderId="0" xfId="0" applyFont="1" applyFill="1" applyAlignment="1">
      <alignment horizontal="left" vertical="center" indent="1"/>
    </xf>
    <xf numFmtId="0" fontId="21" fillId="13" borderId="0" xfId="0" applyFont="1" applyFill="1" applyAlignment="1">
      <alignment horizontal="center" vertical="center" wrapText="1"/>
    </xf>
    <xf numFmtId="0" fontId="0" fillId="0" borderId="0" xfId="0" applyAlignment="1">
      <alignment horizontal="center" vertical="center"/>
    </xf>
    <xf numFmtId="0" fontId="0" fillId="0" borderId="0" xfId="0" applyAlignment="1">
      <alignment horizontal="left" vertical="top"/>
    </xf>
    <xf numFmtId="0" fontId="0" fillId="0" borderId="0" xfId="0" applyAlignment="1">
      <alignment horizontal="left" vertical="top" wrapText="1"/>
    </xf>
    <xf numFmtId="0" fontId="29" fillId="5" borderId="2" xfId="11" applyFont="1" applyFill="1" applyAlignment="1">
      <alignment horizontal="left" vertical="center" indent="1"/>
    </xf>
    <xf numFmtId="0" fontId="1" fillId="45" borderId="2" xfId="12" applyFill="1">
      <alignment horizontal="left" vertical="center" indent="2"/>
    </xf>
    <xf numFmtId="0" fontId="1" fillId="45" borderId="2" xfId="11" applyFill="1">
      <alignment horizontal="center" vertical="center"/>
    </xf>
    <xf numFmtId="9" fontId="23" fillId="45" borderId="2" xfId="2" applyFont="1" applyFill="1" applyBorder="1" applyAlignment="1">
      <alignment horizontal="center" vertical="center"/>
    </xf>
    <xf numFmtId="178" fontId="1" fillId="45" borderId="2" xfId="10" applyFill="1">
      <alignment horizontal="center" vertical="center"/>
    </xf>
    <xf numFmtId="0" fontId="1" fillId="46" borderId="2" xfId="11" applyFill="1">
      <alignment horizontal="center" vertical="center"/>
    </xf>
    <xf numFmtId="9" fontId="23" fillId="46" borderId="2" xfId="2" applyFont="1" applyFill="1" applyBorder="1" applyAlignment="1">
      <alignment horizontal="center" vertical="center"/>
    </xf>
    <xf numFmtId="178" fontId="1" fillId="46" borderId="2" xfId="10" applyFill="1">
      <alignment horizontal="center" vertical="center"/>
    </xf>
    <xf numFmtId="0" fontId="29" fillId="46" borderId="2" xfId="12" applyFont="1" applyFill="1">
      <alignment horizontal="left" vertical="center" indent="2"/>
    </xf>
    <xf numFmtId="0" fontId="0" fillId="8" borderId="13" xfId="0" applyFill="1" applyBorder="1" applyAlignment="1">
      <alignment horizontal="left" vertical="top" wrapText="1"/>
    </xf>
    <xf numFmtId="0" fontId="0" fillId="0" borderId="13" xfId="0" applyBorder="1" applyAlignment="1">
      <alignment horizontal="left" vertical="top" wrapText="1"/>
    </xf>
    <xf numFmtId="0" fontId="0" fillId="0" borderId="13" xfId="0" applyBorder="1" applyAlignment="1">
      <alignment vertical="top" wrapText="1"/>
    </xf>
    <xf numFmtId="0" fontId="1" fillId="0" borderId="0" xfId="8">
      <alignment horizontal="right" indent="1"/>
    </xf>
    <xf numFmtId="49" fontId="0" fillId="7" borderId="4" xfId="0" applyNumberFormat="1" applyFill="1" applyBorder="1" applyAlignment="1">
      <alignment horizontal="left" vertical="center" wrapText="1" indent="1"/>
    </xf>
    <xf numFmtId="49" fontId="0" fillId="7" borderId="1" xfId="0" applyNumberFormat="1" applyFill="1" applyBorder="1" applyAlignment="1">
      <alignment horizontal="left" vertical="center" wrapText="1" indent="1"/>
    </xf>
  </cellXfs>
  <cellStyles count="54">
    <cellStyle name="20% - 着色 1" xfId="31" builtinId="30" customBuiltin="1"/>
    <cellStyle name="20% - 着色 2" xfId="35" builtinId="34" customBuiltin="1"/>
    <cellStyle name="20% - 着色 3" xfId="39" builtinId="38" customBuiltin="1"/>
    <cellStyle name="20% - 着色 4" xfId="43" builtinId="42" customBuiltin="1"/>
    <cellStyle name="20% - 着色 5" xfId="47" builtinId="46" customBuiltin="1"/>
    <cellStyle name="20% - 着色 6" xfId="51" builtinId="50" customBuiltin="1"/>
    <cellStyle name="40% - 着色 1" xfId="32" builtinId="31" customBuiltin="1"/>
    <cellStyle name="40% - 着色 2" xfId="36" builtinId="35" customBuiltin="1"/>
    <cellStyle name="40% - 着色 3" xfId="40" builtinId="39" customBuiltin="1"/>
    <cellStyle name="40% - 着色 4" xfId="44" builtinId="43" customBuiltin="1"/>
    <cellStyle name="40% - 着色 5" xfId="48" builtinId="47" customBuiltin="1"/>
    <cellStyle name="40% - 着色 6" xfId="52" builtinId="51" customBuiltin="1"/>
    <cellStyle name="60% - 着色 1" xfId="33" builtinId="32" customBuiltin="1"/>
    <cellStyle name="60% - 着色 2" xfId="37" builtinId="36" customBuiltin="1"/>
    <cellStyle name="60% - 着色 3" xfId="41" builtinId="40" customBuiltin="1"/>
    <cellStyle name="60% - 着色 4" xfId="45" builtinId="44" customBuiltin="1"/>
    <cellStyle name="60% - 着色 5" xfId="49" builtinId="48" customBuiltin="1"/>
    <cellStyle name="60% - 着色 6" xfId="53" builtinId="52" customBuiltin="1"/>
    <cellStyle name="z隐藏文本" xfId="3" xr:uid="{26E66EE6-E33F-4D77-BAE4-0FB4F5BBF673}"/>
    <cellStyle name="百分比" xfId="2" builtinId="5" customBuiltin="1"/>
    <cellStyle name="标题" xfId="5" builtinId="15" customBuiltin="1"/>
    <cellStyle name="标题 1" xfId="6" builtinId="16" customBuiltin="1"/>
    <cellStyle name="标题 2" xfId="7" builtinId="17" customBuiltin="1"/>
    <cellStyle name="标题 3" xfId="8" builtinId="18" customBuiltin="1"/>
    <cellStyle name="标题 4" xfId="17" builtinId="19" customBuiltin="1"/>
    <cellStyle name="差" xfId="19" builtinId="27" customBuiltin="1"/>
    <cellStyle name="常规" xfId="0" builtinId="0" customBuiltin="1"/>
    <cellStyle name="超链接" xfId="1" builtinId="8" customBuiltin="1"/>
    <cellStyle name="好" xfId="18" builtinId="26" customBuiltin="1"/>
    <cellStyle name="汇总" xfId="29" builtinId="25" customBuiltin="1"/>
    <cellStyle name="货币" xfId="15" builtinId="4" customBuiltin="1"/>
    <cellStyle name="货币[0]" xfId="16" builtinId="7" customBuiltin="1"/>
    <cellStyle name="计算" xfId="23" builtinId="22" customBuiltin="1"/>
    <cellStyle name="检查单元格" xfId="25" builtinId="23" customBuiltin="1"/>
    <cellStyle name="解释性文本" xfId="28" builtinId="53" customBuiltin="1"/>
    <cellStyle name="警告文本" xfId="26" builtinId="11" customBuiltin="1"/>
    <cellStyle name="链接单元格" xfId="24" builtinId="24" customBuiltin="1"/>
    <cellStyle name="千位分隔" xfId="4" builtinId="3" customBuiltin="1"/>
    <cellStyle name="千位分隔[0]" xfId="14" builtinId="6" customBuiltin="1"/>
    <cellStyle name="任务" xfId="12" xr:uid="{6391D789-272B-4DD2-9BF3-2CDCF610FA41}"/>
    <cellStyle name="日期" xfId="10" xr:uid="{229918B6-DD13-4F5A-97B9-305F7E002AA3}"/>
    <cellStyle name="适中" xfId="20" builtinId="28" customBuiltin="1"/>
    <cellStyle name="输出" xfId="22" builtinId="21" customBuiltin="1"/>
    <cellStyle name="输入" xfId="21" builtinId="20" customBuiltin="1"/>
    <cellStyle name="项目开始" xfId="9" xr:uid="{8EB8A09A-C31C-40A3-B2C1-9449520178B8}"/>
    <cellStyle name="姓名" xfId="11" xr:uid="{B2D3C1EE-6B41-4801-AAFC-C2274E49E503}"/>
    <cellStyle name="已访问的超链接" xfId="13" builtinId="9" customBuiltin="1"/>
    <cellStyle name="着色 1" xfId="30" builtinId="29" customBuiltin="1"/>
    <cellStyle name="着色 2" xfId="34" builtinId="33" customBuiltin="1"/>
    <cellStyle name="着色 3" xfId="38" builtinId="37" customBuiltin="1"/>
    <cellStyle name="着色 4" xfId="42" builtinId="41" customBuiltin="1"/>
    <cellStyle name="着色 5" xfId="46" builtinId="45" customBuiltin="1"/>
    <cellStyle name="着色 6" xfId="50" builtinId="49" customBuiltin="1"/>
    <cellStyle name="注释" xfId="27" builtinId="10" customBuiltin="1"/>
  </cellStyles>
  <dxfs count="13">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待办事项列表" pivot="0" count="9" xr9:uid="{00000000-0011-0000-FFFF-FFFF00000000}">
      <tableStyleElement type="wholeTable" dxfId="12"/>
      <tableStyleElement type="headerRow" dxfId="11"/>
      <tableStyleElement type="totalRow" dxfId="10"/>
      <tableStyleElement type="firstColumn" dxfId="9"/>
      <tableStyleElement type="lastColumn" dxfId="8"/>
      <tableStyleElement type="firstRowStripe" dxfId="7"/>
      <tableStyleElement type="secondRowStripe" dxfId="6"/>
      <tableStyleElement type="firstColumnStripe" dxfId="5"/>
      <tableStyleElement type="secondColumnStripe"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T33"/>
  <sheetViews>
    <sheetView showGridLines="0" tabSelected="1" showRuler="0" zoomScale="82" zoomScaleNormal="82" zoomScalePageLayoutView="70" workbookViewId="0">
      <pane ySplit="3" topLeftCell="A12" activePane="bottomLeft" state="frozen"/>
      <selection pane="bottomLeft" activeCell="M25" sqref="M25"/>
    </sheetView>
  </sheetViews>
  <sheetFormatPr defaultRowHeight="30" customHeight="1" x14ac:dyDescent="0.5"/>
  <cols>
    <col min="1" max="1" width="2.52734375" style="7" customWidth="1"/>
    <col min="2" max="2" width="31.64453125" customWidth="1"/>
    <col min="3" max="3" width="8" bestFit="1" customWidth="1"/>
    <col min="4" max="4" width="10.52734375" customWidth="1"/>
    <col min="5" max="5" width="10.29296875" style="2" customWidth="1"/>
    <col min="6" max="6" width="10.29296875" customWidth="1"/>
    <col min="7" max="7" width="2.52734375" customWidth="1"/>
    <col min="8" max="8" width="6" hidden="1" customWidth="1"/>
    <col min="9" max="46" width="5.234375" bestFit="1" customWidth="1"/>
    <col min="48" max="50" width="7.29296875"/>
    <col min="51" max="52" width="8.46875"/>
  </cols>
  <sheetData>
    <row r="1" spans="1:46" ht="30" customHeight="1" x14ac:dyDescent="1">
      <c r="A1" s="8" t="s">
        <v>0</v>
      </c>
      <c r="B1" s="9" t="s">
        <v>13</v>
      </c>
      <c r="C1" s="24"/>
      <c r="D1" s="25"/>
      <c r="E1" s="26"/>
      <c r="F1" s="27"/>
      <c r="H1" s="25"/>
    </row>
    <row r="2" spans="1:46" ht="22.5" customHeight="1" x14ac:dyDescent="0.5">
      <c r="A2" s="8" t="s">
        <v>1</v>
      </c>
      <c r="C2" s="82"/>
      <c r="D2" s="82"/>
      <c r="E2" s="67"/>
      <c r="I2" s="84" t="s">
        <v>14</v>
      </c>
      <c r="J2" s="84"/>
      <c r="K2" s="84"/>
      <c r="L2" s="83" t="s">
        <v>20</v>
      </c>
      <c r="M2" s="84"/>
      <c r="N2" s="84"/>
      <c r="O2" s="84"/>
      <c r="P2" s="84"/>
      <c r="Q2" s="83" t="s">
        <v>21</v>
      </c>
      <c r="R2" s="84"/>
      <c r="S2" s="84"/>
      <c r="T2" s="84"/>
      <c r="U2" s="84"/>
      <c r="V2" s="83" t="s">
        <v>22</v>
      </c>
      <c r="W2" s="84"/>
      <c r="X2" s="84"/>
      <c r="Y2" s="84"/>
      <c r="Z2" s="84"/>
      <c r="AA2" s="83" t="s">
        <v>23</v>
      </c>
      <c r="AB2" s="84"/>
      <c r="AC2" s="84"/>
      <c r="AD2" s="84"/>
      <c r="AE2" s="84"/>
      <c r="AF2" s="83" t="s">
        <v>24</v>
      </c>
      <c r="AG2" s="84"/>
      <c r="AH2" s="84"/>
      <c r="AI2" s="84"/>
      <c r="AJ2" s="84"/>
      <c r="AK2" s="83" t="s">
        <v>25</v>
      </c>
      <c r="AL2" s="84"/>
      <c r="AM2" s="84"/>
      <c r="AN2" s="84"/>
      <c r="AO2" s="84"/>
      <c r="AP2" s="83" t="s">
        <v>26</v>
      </c>
      <c r="AQ2" s="84"/>
      <c r="AR2" s="84"/>
      <c r="AS2" s="84"/>
      <c r="AT2" s="84"/>
    </row>
    <row r="3" spans="1:46" ht="22.5" customHeight="1" thickBot="1" x14ac:dyDescent="0.55000000000000004">
      <c r="A3" s="8" t="s">
        <v>2</v>
      </c>
      <c r="B3" s="65" t="s">
        <v>28</v>
      </c>
      <c r="C3" s="66" t="s">
        <v>27</v>
      </c>
      <c r="D3" s="66" t="s">
        <v>29</v>
      </c>
      <c r="E3" s="66" t="s">
        <v>30</v>
      </c>
      <c r="F3" s="66" t="s">
        <v>11</v>
      </c>
      <c r="G3" s="28"/>
      <c r="H3" s="28" t="s">
        <v>12</v>
      </c>
      <c r="I3" s="29" t="s">
        <v>17</v>
      </c>
      <c r="J3" s="29" t="s">
        <v>18</v>
      </c>
      <c r="K3" s="29" t="s">
        <v>19</v>
      </c>
      <c r="L3" s="29" t="s">
        <v>15</v>
      </c>
      <c r="M3" s="29" t="s">
        <v>16</v>
      </c>
      <c r="N3" s="29" t="s">
        <v>17</v>
      </c>
      <c r="O3" s="29" t="s">
        <v>18</v>
      </c>
      <c r="P3" s="29" t="s">
        <v>19</v>
      </c>
      <c r="Q3" s="29" t="s">
        <v>15</v>
      </c>
      <c r="R3" s="29" t="s">
        <v>16</v>
      </c>
      <c r="S3" s="29" t="s">
        <v>17</v>
      </c>
      <c r="T3" s="29" t="s">
        <v>18</v>
      </c>
      <c r="U3" s="29" t="s">
        <v>19</v>
      </c>
      <c r="V3" s="29" t="s">
        <v>15</v>
      </c>
      <c r="W3" s="29" t="s">
        <v>16</v>
      </c>
      <c r="X3" s="29" t="s">
        <v>17</v>
      </c>
      <c r="Y3" s="29" t="s">
        <v>18</v>
      </c>
      <c r="Z3" s="29" t="s">
        <v>19</v>
      </c>
      <c r="AA3" s="29" t="s">
        <v>15</v>
      </c>
      <c r="AB3" s="29" t="s">
        <v>16</v>
      </c>
      <c r="AC3" s="29" t="s">
        <v>17</v>
      </c>
      <c r="AD3" s="29" t="s">
        <v>18</v>
      </c>
      <c r="AE3" s="29" t="s">
        <v>19</v>
      </c>
      <c r="AF3" s="29" t="s">
        <v>15</v>
      </c>
      <c r="AG3" s="29" t="s">
        <v>16</v>
      </c>
      <c r="AH3" s="29" t="s">
        <v>17</v>
      </c>
      <c r="AI3" s="29" t="s">
        <v>18</v>
      </c>
      <c r="AJ3" s="29" t="s">
        <v>19</v>
      </c>
      <c r="AK3" s="29" t="s">
        <v>15</v>
      </c>
      <c r="AL3" s="29" t="s">
        <v>16</v>
      </c>
      <c r="AM3" s="29" t="s">
        <v>17</v>
      </c>
      <c r="AN3" s="29" t="s">
        <v>18</v>
      </c>
      <c r="AO3" s="29" t="s">
        <v>19</v>
      </c>
      <c r="AP3" s="29" t="s">
        <v>15</v>
      </c>
      <c r="AQ3" s="29" t="s">
        <v>16</v>
      </c>
      <c r="AR3" s="29" t="s">
        <v>17</v>
      </c>
      <c r="AS3" s="29" t="s">
        <v>18</v>
      </c>
      <c r="AT3" s="29" t="s">
        <v>19</v>
      </c>
    </row>
    <row r="4" spans="1:46" s="1" customFormat="1" ht="22.5" customHeight="1" thickBot="1" x14ac:dyDescent="0.55000000000000004">
      <c r="A4" s="8" t="s">
        <v>3</v>
      </c>
      <c r="B4" s="30" t="s">
        <v>31</v>
      </c>
      <c r="C4" s="10"/>
      <c r="D4" s="31"/>
      <c r="E4" s="53"/>
      <c r="F4" s="54"/>
      <c r="G4" s="32"/>
      <c r="H4" s="32" t="str">
        <f t="shared" ref="H4:H30" si="0">IF(OR(ISBLANK(task_start),ISBLANK(task_end)),"",task_end-task_start+1)</f>
        <v/>
      </c>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row>
    <row r="5" spans="1:46" s="1" customFormat="1" ht="22.5" customHeight="1" thickBot="1" x14ac:dyDescent="0.55000000000000004">
      <c r="A5" s="8" t="s">
        <v>4</v>
      </c>
      <c r="B5" s="19" t="s">
        <v>78</v>
      </c>
      <c r="C5" s="11" t="s">
        <v>80</v>
      </c>
      <c r="D5" s="33">
        <v>0.8</v>
      </c>
      <c r="E5" s="55">
        <v>45975</v>
      </c>
      <c r="F5" s="55"/>
      <c r="G5" s="32"/>
      <c r="H5" s="32" t="str">
        <f t="shared" si="0"/>
        <v/>
      </c>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row>
    <row r="6" spans="1:46" s="1" customFormat="1" ht="22.5" customHeight="1" thickBot="1" x14ac:dyDescent="0.55000000000000004">
      <c r="A6" s="8" t="s">
        <v>5</v>
      </c>
      <c r="B6" s="19" t="s">
        <v>33</v>
      </c>
      <c r="C6" s="11" t="s">
        <v>82</v>
      </c>
      <c r="D6" s="33">
        <v>0.3</v>
      </c>
      <c r="E6" s="55">
        <v>45975</v>
      </c>
      <c r="F6" s="55"/>
      <c r="G6" s="32"/>
      <c r="H6" s="32" t="str">
        <f t="shared" si="0"/>
        <v/>
      </c>
      <c r="I6" s="4" t="s">
        <v>86</v>
      </c>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row>
    <row r="7" spans="1:46" s="1" customFormat="1" ht="22.5" customHeight="1" thickBot="1" x14ac:dyDescent="0.55000000000000004">
      <c r="A7" s="7"/>
      <c r="B7" s="19" t="s">
        <v>92</v>
      </c>
      <c r="C7" s="11" t="s">
        <v>80</v>
      </c>
      <c r="D7" s="33">
        <v>0.3</v>
      </c>
      <c r="E7" s="55"/>
      <c r="F7" s="55"/>
      <c r="G7" s="32"/>
      <c r="H7" s="32" t="str">
        <f t="shared" si="0"/>
        <v/>
      </c>
      <c r="I7" s="4"/>
      <c r="J7" s="4"/>
      <c r="K7" s="4" t="s">
        <v>101</v>
      </c>
      <c r="L7" s="4"/>
      <c r="M7" s="4"/>
      <c r="N7" s="4"/>
      <c r="O7" s="4"/>
      <c r="P7" s="4"/>
      <c r="Q7" s="4"/>
      <c r="R7" s="4"/>
      <c r="S7" s="5"/>
      <c r="T7" s="4"/>
      <c r="U7" s="4"/>
      <c r="V7" s="4"/>
      <c r="W7" s="4"/>
      <c r="X7" s="4"/>
      <c r="Y7" s="4"/>
      <c r="Z7" s="4"/>
      <c r="AA7" s="4"/>
      <c r="AB7" s="4"/>
      <c r="AC7" s="4"/>
      <c r="AD7" s="4"/>
      <c r="AE7" s="4"/>
      <c r="AF7" s="4"/>
      <c r="AG7" s="4"/>
      <c r="AH7" s="4"/>
      <c r="AI7" s="4"/>
      <c r="AJ7" s="4"/>
      <c r="AK7" s="4"/>
      <c r="AL7" s="4"/>
      <c r="AM7" s="4"/>
      <c r="AN7" s="4"/>
      <c r="AO7" s="4"/>
      <c r="AP7" s="4"/>
      <c r="AQ7" s="4"/>
      <c r="AR7" s="4"/>
      <c r="AS7" s="4"/>
      <c r="AT7" s="4"/>
    </row>
    <row r="8" spans="1:46" s="1" customFormat="1" ht="22.5" customHeight="1" thickBot="1" x14ac:dyDescent="0.55000000000000004">
      <c r="A8" s="7"/>
      <c r="B8" s="19" t="s">
        <v>84</v>
      </c>
      <c r="C8" s="11"/>
      <c r="D8" s="33">
        <v>0</v>
      </c>
      <c r="E8" s="55"/>
      <c r="F8" s="55"/>
      <c r="G8" s="32"/>
      <c r="H8" s="32" t="str">
        <f t="shared" si="0"/>
        <v/>
      </c>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row>
    <row r="9" spans="1:46" s="1" customFormat="1" ht="22.5" customHeight="1" thickBot="1" x14ac:dyDescent="0.55000000000000004">
      <c r="A9" s="8" t="s">
        <v>6</v>
      </c>
      <c r="B9" s="34" t="s">
        <v>90</v>
      </c>
      <c r="C9" s="12"/>
      <c r="D9" s="35"/>
      <c r="E9" s="56"/>
      <c r="F9" s="57"/>
      <c r="G9" s="32"/>
      <c r="H9" s="32" t="str">
        <f t="shared" si="0"/>
        <v/>
      </c>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row>
    <row r="10" spans="1:46" s="1" customFormat="1" ht="22.5" customHeight="1" thickBot="1" x14ac:dyDescent="0.55000000000000004">
      <c r="A10" s="8"/>
      <c r="B10" s="20" t="s">
        <v>78</v>
      </c>
      <c r="C10" s="13" t="s">
        <v>79</v>
      </c>
      <c r="D10" s="36">
        <v>0.8</v>
      </c>
      <c r="E10" s="58">
        <v>45975</v>
      </c>
      <c r="F10" s="58"/>
      <c r="G10" s="32"/>
      <c r="H10" s="32" t="str">
        <f t="shared" si="0"/>
        <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row>
    <row r="11" spans="1:46" s="1" customFormat="1" ht="22.5" customHeight="1" thickBot="1" x14ac:dyDescent="0.55000000000000004">
      <c r="A11" s="7"/>
      <c r="B11" s="20" t="s">
        <v>33</v>
      </c>
      <c r="C11" s="13" t="s">
        <v>81</v>
      </c>
      <c r="D11" s="36">
        <v>0.1</v>
      </c>
      <c r="E11" s="58">
        <v>45975</v>
      </c>
      <c r="F11" s="58"/>
      <c r="G11" s="32"/>
      <c r="H11" s="32" t="str">
        <f t="shared" si="0"/>
        <v/>
      </c>
      <c r="I11" s="4" t="s">
        <v>88</v>
      </c>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row>
    <row r="12" spans="1:46" s="1" customFormat="1" ht="22.5" customHeight="1" thickBot="1" x14ac:dyDescent="0.55000000000000004">
      <c r="A12" s="7"/>
      <c r="B12" s="20" t="s">
        <v>91</v>
      </c>
      <c r="C12" s="13" t="s">
        <v>79</v>
      </c>
      <c r="D12" s="36">
        <v>0.3</v>
      </c>
      <c r="E12" s="58">
        <v>45975</v>
      </c>
      <c r="F12" s="58"/>
      <c r="G12" s="32"/>
      <c r="H12" s="32" t="str">
        <f t="shared" si="0"/>
        <v/>
      </c>
      <c r="I12" s="4"/>
      <c r="J12" s="4"/>
      <c r="K12" s="4" t="s">
        <v>101</v>
      </c>
      <c r="L12" s="4"/>
      <c r="M12" s="4"/>
      <c r="N12" s="4"/>
      <c r="O12" s="4"/>
      <c r="P12" s="4"/>
      <c r="Q12" s="4"/>
      <c r="R12" s="4"/>
      <c r="S12" s="5"/>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row>
    <row r="13" spans="1:46" s="1" customFormat="1" ht="22.5" customHeight="1" thickBot="1" x14ac:dyDescent="0.55000000000000004">
      <c r="A13" s="7"/>
      <c r="B13" s="20" t="s">
        <v>84</v>
      </c>
      <c r="C13" s="13"/>
      <c r="D13" s="36">
        <v>0</v>
      </c>
      <c r="E13" s="58"/>
      <c r="F13" s="58"/>
      <c r="G13" s="32"/>
      <c r="H13" s="32" t="str">
        <f t="shared" si="0"/>
        <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row>
    <row r="14" spans="1:46" s="1" customFormat="1" ht="22.5" customHeight="1" thickBot="1" x14ac:dyDescent="0.55000000000000004">
      <c r="A14" s="7" t="s">
        <v>7</v>
      </c>
      <c r="B14" s="37" t="s">
        <v>32</v>
      </c>
      <c r="C14" s="14"/>
      <c r="D14" s="38"/>
      <c r="E14" s="59"/>
      <c r="F14" s="60"/>
      <c r="G14" s="32"/>
      <c r="H14" s="32" t="str">
        <f t="shared" si="0"/>
        <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row>
    <row r="15" spans="1:46" s="1" customFormat="1" ht="22.5" customHeight="1" thickBot="1" x14ac:dyDescent="0.55000000000000004">
      <c r="A15" s="7"/>
      <c r="B15" s="21" t="s">
        <v>78</v>
      </c>
      <c r="C15" s="15" t="s">
        <v>79</v>
      </c>
      <c r="D15" s="39">
        <v>0.8</v>
      </c>
      <c r="E15" s="61">
        <v>45975</v>
      </c>
      <c r="F15" s="61"/>
      <c r="G15" s="32"/>
      <c r="H15" s="32" t="str">
        <f t="shared" si="0"/>
        <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row>
    <row r="16" spans="1:46" s="1" customFormat="1" ht="22.5" customHeight="1" thickBot="1" x14ac:dyDescent="0.55000000000000004">
      <c r="A16" s="7"/>
      <c r="B16" s="21" t="s">
        <v>33</v>
      </c>
      <c r="C16" s="15" t="s">
        <v>87</v>
      </c>
      <c r="D16" s="39">
        <v>0.3</v>
      </c>
      <c r="E16" s="61">
        <v>45975</v>
      </c>
      <c r="F16" s="61"/>
      <c r="G16" s="32"/>
      <c r="H16" s="32" t="str">
        <f t="shared" si="0"/>
        <v/>
      </c>
      <c r="I16" s="4" t="s">
        <v>89</v>
      </c>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row>
    <row r="17" spans="1:46" s="1" customFormat="1" ht="22.5" customHeight="1" thickBot="1" x14ac:dyDescent="0.55000000000000004">
      <c r="A17" s="7"/>
      <c r="B17" s="21" t="s">
        <v>91</v>
      </c>
      <c r="C17" s="15" t="s">
        <v>79</v>
      </c>
      <c r="D17" s="39">
        <v>0.2</v>
      </c>
      <c r="E17" s="61">
        <v>45975</v>
      </c>
      <c r="F17" s="61"/>
      <c r="G17" s="32"/>
      <c r="H17" s="32" t="str">
        <f t="shared" si="0"/>
        <v/>
      </c>
      <c r="I17" s="4"/>
      <c r="J17" s="4"/>
      <c r="K17" s="4" t="s">
        <v>101</v>
      </c>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row>
    <row r="18" spans="1:46" s="1" customFormat="1" ht="22.5" customHeight="1" thickBot="1" x14ac:dyDescent="0.55000000000000004">
      <c r="A18" s="7"/>
      <c r="B18" s="21" t="s">
        <v>84</v>
      </c>
      <c r="C18" s="15"/>
      <c r="D18" s="39">
        <v>0</v>
      </c>
      <c r="E18" s="61"/>
      <c r="F18" s="61"/>
      <c r="G18" s="32"/>
      <c r="H18" s="32" t="str">
        <f t="shared" si="0"/>
        <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row>
    <row r="19" spans="1:46" s="1" customFormat="1" ht="22.5" customHeight="1" thickBot="1" x14ac:dyDescent="0.55000000000000004">
      <c r="A19" s="7" t="s">
        <v>7</v>
      </c>
      <c r="B19" s="70" t="s">
        <v>93</v>
      </c>
      <c r="C19" s="16"/>
      <c r="D19" s="40"/>
      <c r="E19" s="62"/>
      <c r="F19" s="63"/>
      <c r="G19" s="32"/>
      <c r="H19" s="32" t="str">
        <f t="shared" si="0"/>
        <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row>
    <row r="20" spans="1:46" s="1" customFormat="1" ht="22.5" customHeight="1" thickBot="1" x14ac:dyDescent="0.55000000000000004">
      <c r="A20" s="7"/>
      <c r="B20" s="22" t="s">
        <v>77</v>
      </c>
      <c r="C20" s="17" t="s">
        <v>79</v>
      </c>
      <c r="D20" s="41">
        <v>0.8</v>
      </c>
      <c r="E20" s="64">
        <v>45975</v>
      </c>
      <c r="F20" s="64"/>
      <c r="G20" s="32"/>
      <c r="H20" s="32" t="str">
        <f t="shared" si="0"/>
        <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row>
    <row r="21" spans="1:46" s="1" customFormat="1" ht="22.5" customHeight="1" thickBot="1" x14ac:dyDescent="0.55000000000000004">
      <c r="A21" s="7"/>
      <c r="B21" s="22" t="s">
        <v>85</v>
      </c>
      <c r="C21" s="17" t="s">
        <v>81</v>
      </c>
      <c r="D21" s="41">
        <v>0.2</v>
      </c>
      <c r="E21" s="64">
        <v>45975</v>
      </c>
      <c r="F21" s="64"/>
      <c r="G21" s="32"/>
      <c r="H21" s="32" t="str">
        <f t="shared" si="0"/>
        <v/>
      </c>
      <c r="I21" s="4" t="s">
        <v>95</v>
      </c>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row>
    <row r="22" spans="1:46" s="1" customFormat="1" ht="22.5" customHeight="1" thickBot="1" x14ac:dyDescent="0.55000000000000004">
      <c r="A22" s="7"/>
      <c r="B22" s="22" t="s">
        <v>91</v>
      </c>
      <c r="C22" s="17" t="s">
        <v>79</v>
      </c>
      <c r="D22" s="41">
        <v>0.3</v>
      </c>
      <c r="E22" s="64">
        <v>45975</v>
      </c>
      <c r="F22" s="64"/>
      <c r="G22" s="32"/>
      <c r="H22" s="32" t="str">
        <f t="shared" si="0"/>
        <v/>
      </c>
      <c r="I22" s="4"/>
      <c r="J22" s="4"/>
      <c r="K22" s="4" t="s">
        <v>101</v>
      </c>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row>
    <row r="23" spans="1:46" s="1" customFormat="1" ht="22.5" customHeight="1" thickBot="1" x14ac:dyDescent="0.55000000000000004">
      <c r="A23" s="7"/>
      <c r="B23" s="22" t="s">
        <v>83</v>
      </c>
      <c r="C23" s="17"/>
      <c r="D23" s="41"/>
      <c r="E23" s="64"/>
      <c r="F23" s="64"/>
      <c r="G23" s="32"/>
      <c r="H23" s="32" t="str">
        <f t="shared" si="0"/>
        <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row>
    <row r="24" spans="1:46" s="1" customFormat="1" ht="22.5" customHeight="1" thickBot="1" x14ac:dyDescent="0.55000000000000004">
      <c r="A24" s="7"/>
      <c r="B24" s="78" t="s">
        <v>94</v>
      </c>
      <c r="C24" s="75"/>
      <c r="D24" s="76"/>
      <c r="E24" s="77"/>
      <c r="F24" s="77"/>
      <c r="G24" s="32"/>
      <c r="H24" s="32"/>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row>
    <row r="25" spans="1:46" s="1" customFormat="1" ht="22.5" customHeight="1" thickBot="1" x14ac:dyDescent="0.55000000000000004">
      <c r="A25" s="7"/>
      <c r="B25" s="71" t="s">
        <v>77</v>
      </c>
      <c r="C25" s="72" t="s">
        <v>79</v>
      </c>
      <c r="D25" s="73">
        <v>0.8</v>
      </c>
      <c r="E25" s="74">
        <v>45975</v>
      </c>
      <c r="F25" s="74"/>
      <c r="G25" s="32"/>
      <c r="H25" s="32" t="str">
        <f t="shared" si="0"/>
        <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row>
    <row r="26" spans="1:46" s="1" customFormat="1" ht="22.5" customHeight="1" thickBot="1" x14ac:dyDescent="0.55000000000000004">
      <c r="A26" s="7"/>
      <c r="B26" s="71" t="s">
        <v>85</v>
      </c>
      <c r="C26" s="72" t="s">
        <v>81</v>
      </c>
      <c r="D26" s="73">
        <v>0.3</v>
      </c>
      <c r="E26" s="74">
        <v>45975</v>
      </c>
      <c r="F26" s="74"/>
      <c r="G26" s="32"/>
      <c r="H26" s="32"/>
      <c r="I26" s="4" t="s">
        <v>96</v>
      </c>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row>
    <row r="27" spans="1:46" s="1" customFormat="1" ht="22.5" customHeight="1" thickBot="1" x14ac:dyDescent="0.55000000000000004">
      <c r="A27" s="7"/>
      <c r="B27" s="71" t="s">
        <v>91</v>
      </c>
      <c r="C27" s="72" t="s">
        <v>79</v>
      </c>
      <c r="D27" s="73">
        <v>0.3</v>
      </c>
      <c r="E27" s="74">
        <v>45975</v>
      </c>
      <c r="F27" s="74"/>
      <c r="G27" s="32"/>
      <c r="H27" s="32"/>
      <c r="I27" s="4"/>
      <c r="J27" s="4"/>
      <c r="K27" s="4" t="s">
        <v>101</v>
      </c>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row>
    <row r="28" spans="1:46" s="1" customFormat="1" ht="22.5" customHeight="1" thickBot="1" x14ac:dyDescent="0.55000000000000004">
      <c r="A28" s="7"/>
      <c r="B28" s="71" t="s">
        <v>83</v>
      </c>
      <c r="C28" s="72"/>
      <c r="D28" s="73"/>
      <c r="E28" s="74"/>
      <c r="F28" s="74"/>
      <c r="G28" s="32"/>
      <c r="H28" s="32"/>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row>
    <row r="29" spans="1:46" s="1" customFormat="1" ht="22.5" customHeight="1" thickBot="1" x14ac:dyDescent="0.55000000000000004">
      <c r="A29" s="7" t="s">
        <v>8</v>
      </c>
      <c r="B29" s="23"/>
      <c r="C29" s="18"/>
      <c r="D29" s="42"/>
      <c r="E29" s="43"/>
      <c r="F29" s="43"/>
      <c r="G29" s="32"/>
      <c r="H29" s="32" t="str">
        <f t="shared" si="0"/>
        <v/>
      </c>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row>
    <row r="30" spans="1:46" s="1" customFormat="1" ht="22.5" customHeight="1" thickBot="1" x14ac:dyDescent="0.55000000000000004">
      <c r="A30" s="8" t="s">
        <v>9</v>
      </c>
      <c r="B30" s="44" t="s">
        <v>10</v>
      </c>
      <c r="C30" s="45"/>
      <c r="D30" s="46"/>
      <c r="E30" s="47"/>
      <c r="F30" s="48"/>
      <c r="G30" s="49"/>
      <c r="H30" s="49" t="str">
        <f t="shared" si="0"/>
        <v/>
      </c>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row>
    <row r="31" spans="1:46" ht="30" customHeight="1" x14ac:dyDescent="0.5">
      <c r="G31" s="3"/>
    </row>
    <row r="32" spans="1:46" ht="30" customHeight="1" x14ac:dyDescent="0.55000000000000004">
      <c r="C32" s="50"/>
      <c r="F32" s="51"/>
    </row>
    <row r="33" spans="3:3" ht="30" customHeight="1" x14ac:dyDescent="0.5">
      <c r="C33" s="52"/>
    </row>
  </sheetData>
  <mergeCells count="9">
    <mergeCell ref="C2:D2"/>
    <mergeCell ref="AA2:AE2"/>
    <mergeCell ref="AF2:AJ2"/>
    <mergeCell ref="AK2:AO2"/>
    <mergeCell ref="AP2:AT2"/>
    <mergeCell ref="I2:K2"/>
    <mergeCell ref="L2:P2"/>
    <mergeCell ref="Q2:U2"/>
    <mergeCell ref="V2:Z2"/>
  </mergeCells>
  <phoneticPr fontId="27" type="noConversion"/>
  <conditionalFormatting sqref="D4:D30">
    <cfRule type="dataBar" priority="26">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3:AT3">
    <cfRule type="expression" dxfId="3" priority="2">
      <formula>AND(TODAY()&gt;=#REF!,TODAY()&lt;#REF!)</formula>
    </cfRule>
  </conditionalFormatting>
  <conditionalFormatting sqref="I4:AT4 J5:AT5 I6:AT30">
    <cfRule type="expression" dxfId="2" priority="39">
      <formula>AND(task_start&lt;=#REF!,ROUNDDOWN((task_end-task_start+1)*task_progress,0)+task_start-1&gt;=#REF!)</formula>
    </cfRule>
    <cfRule type="expression" dxfId="1" priority="40" stopIfTrue="1">
      <formula>AND(task_end&gt;=#REF!,task_start&lt;#REF!)</formula>
    </cfRule>
    <cfRule type="expression" dxfId="0" priority="45">
      <formula>AND(TODAY()&gt;=#REF!,TODAY()&lt;#REF!)</formula>
    </cfRule>
  </conditionalFormatting>
  <dataValidations count="1">
    <dataValidation type="whole" operator="greaterThanOrEqual" allowBlank="1" showInputMessage="1" promptTitle="显示周数" prompt="更改此数字将滚动甘特图视图。" sqref="E2" xr:uid="{00000000-0002-0000-0000-000000000000}">
      <formula1>1</formula1>
    </dataValidation>
  </dataValidations>
  <printOptions horizontalCentered="1"/>
  <pageMargins left="0.35" right="0.35" top="0.35" bottom="0.5" header="0.3" footer="0.3"/>
  <pageSetup paperSize="9" scale="60"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D4:D30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059DE-A590-4119-9D28-B1069A06A275}">
  <dimension ref="A1:F13"/>
  <sheetViews>
    <sheetView workbookViewId="0">
      <selection activeCell="A5" sqref="A5:XFD5"/>
    </sheetView>
  </sheetViews>
  <sheetFormatPr defaultRowHeight="15" x14ac:dyDescent="0.5"/>
  <cols>
    <col min="1" max="1" width="20.29296875" style="69" customWidth="1"/>
    <col min="2" max="2" width="9.703125" style="69" customWidth="1"/>
    <col min="3" max="3" width="12.64453125" style="69" customWidth="1"/>
    <col min="4" max="4" width="10.52734375" style="69" customWidth="1"/>
    <col min="5" max="5" width="80.17578125" style="69" customWidth="1"/>
    <col min="6" max="6" width="14" style="69" bestFit="1" customWidth="1"/>
    <col min="7" max="16384" width="8.9375" style="68"/>
  </cols>
  <sheetData>
    <row r="1" spans="1:6" x14ac:dyDescent="0.5">
      <c r="A1" s="79" t="s">
        <v>34</v>
      </c>
      <c r="B1" s="79" t="s">
        <v>52</v>
      </c>
      <c r="C1" s="79" t="s">
        <v>53</v>
      </c>
      <c r="D1" s="79" t="s">
        <v>40</v>
      </c>
      <c r="E1" s="79" t="s">
        <v>35</v>
      </c>
      <c r="F1" s="79" t="s">
        <v>39</v>
      </c>
    </row>
    <row r="2" spans="1:6" ht="75" x14ac:dyDescent="0.5">
      <c r="A2" s="80" t="s">
        <v>56</v>
      </c>
      <c r="B2" s="80" t="s">
        <v>55</v>
      </c>
      <c r="C2" s="80" t="s">
        <v>62</v>
      </c>
      <c r="D2" s="80" t="s">
        <v>66</v>
      </c>
      <c r="E2" s="80" t="s">
        <v>71</v>
      </c>
      <c r="F2" s="80" t="s">
        <v>38</v>
      </c>
    </row>
    <row r="3" spans="1:6" ht="75" x14ac:dyDescent="0.5">
      <c r="A3" s="80" t="s">
        <v>63</v>
      </c>
      <c r="B3" s="80" t="s">
        <v>55</v>
      </c>
      <c r="C3" s="80" t="s">
        <v>67</v>
      </c>
      <c r="D3" s="80" t="s">
        <v>65</v>
      </c>
      <c r="E3" s="80" t="s">
        <v>72</v>
      </c>
      <c r="F3" s="80" t="s">
        <v>38</v>
      </c>
    </row>
    <row r="4" spans="1:6" ht="75" x14ac:dyDescent="0.5">
      <c r="A4" s="80" t="s">
        <v>64</v>
      </c>
      <c r="B4" s="80" t="s">
        <v>55</v>
      </c>
      <c r="C4" s="80" t="s">
        <v>59</v>
      </c>
      <c r="D4" s="80" t="s">
        <v>59</v>
      </c>
      <c r="E4" s="80" t="s">
        <v>73</v>
      </c>
      <c r="F4" s="80" t="s">
        <v>38</v>
      </c>
    </row>
    <row r="5" spans="1:6" ht="90" x14ac:dyDescent="0.5">
      <c r="A5" s="80" t="s">
        <v>50</v>
      </c>
      <c r="B5" s="80" t="s">
        <v>51</v>
      </c>
      <c r="C5" s="80" t="s">
        <v>59</v>
      </c>
      <c r="D5" s="80" t="s">
        <v>22</v>
      </c>
      <c r="E5" s="80" t="s">
        <v>97</v>
      </c>
      <c r="F5" s="80" t="s">
        <v>38</v>
      </c>
    </row>
    <row r="6" spans="1:6" ht="90" x14ac:dyDescent="0.5">
      <c r="A6" s="80" t="s">
        <v>36</v>
      </c>
      <c r="B6" s="80" t="s">
        <v>37</v>
      </c>
      <c r="C6" s="80" t="s">
        <v>54</v>
      </c>
      <c r="D6" s="80" t="s">
        <v>41</v>
      </c>
      <c r="E6" s="81" t="s">
        <v>42</v>
      </c>
      <c r="F6" s="80" t="s">
        <v>38</v>
      </c>
    </row>
    <row r="7" spans="1:6" ht="60" x14ac:dyDescent="0.5">
      <c r="A7" s="80" t="s">
        <v>43</v>
      </c>
      <c r="B7" s="80" t="s">
        <v>58</v>
      </c>
      <c r="C7" s="80" t="s">
        <v>57</v>
      </c>
      <c r="D7" s="80" t="s">
        <v>44</v>
      </c>
      <c r="E7" s="80" t="s">
        <v>45</v>
      </c>
      <c r="F7" s="80" t="s">
        <v>38</v>
      </c>
    </row>
    <row r="8" spans="1:6" ht="60" x14ac:dyDescent="0.5">
      <c r="A8" s="80" t="s">
        <v>56</v>
      </c>
      <c r="B8" s="80" t="s">
        <v>55</v>
      </c>
      <c r="C8" s="80" t="s">
        <v>62</v>
      </c>
      <c r="D8" s="80" t="s">
        <v>66</v>
      </c>
      <c r="E8" s="80" t="s">
        <v>74</v>
      </c>
      <c r="F8" s="80" t="s">
        <v>47</v>
      </c>
    </row>
    <row r="9" spans="1:6" ht="60" x14ac:dyDescent="0.5">
      <c r="A9" s="80" t="s">
        <v>68</v>
      </c>
      <c r="B9" s="80" t="s">
        <v>55</v>
      </c>
      <c r="C9" s="80" t="s">
        <v>70</v>
      </c>
      <c r="D9" s="80" t="s">
        <v>69</v>
      </c>
      <c r="E9" s="80" t="s">
        <v>75</v>
      </c>
      <c r="F9" s="80" t="s">
        <v>47</v>
      </c>
    </row>
    <row r="10" spans="1:6" ht="60" x14ac:dyDescent="0.5">
      <c r="A10" s="80" t="s">
        <v>64</v>
      </c>
      <c r="B10" s="80" t="s">
        <v>55</v>
      </c>
      <c r="C10" s="80" t="s">
        <v>59</v>
      </c>
      <c r="D10" s="80" t="s">
        <v>59</v>
      </c>
      <c r="E10" s="80" t="s">
        <v>76</v>
      </c>
      <c r="F10" s="80" t="s">
        <v>47</v>
      </c>
    </row>
    <row r="11" spans="1:6" ht="90" x14ac:dyDescent="0.5">
      <c r="A11" s="80" t="s">
        <v>46</v>
      </c>
      <c r="B11" s="80" t="s">
        <v>51</v>
      </c>
      <c r="C11" s="80" t="s">
        <v>60</v>
      </c>
      <c r="D11" s="80" t="s">
        <v>26</v>
      </c>
      <c r="E11" s="80" t="s">
        <v>98</v>
      </c>
      <c r="F11" s="80" t="s">
        <v>47</v>
      </c>
    </row>
    <row r="12" spans="1:6" ht="90" x14ac:dyDescent="0.5">
      <c r="A12" s="80" t="s">
        <v>48</v>
      </c>
      <c r="B12" s="80" t="s">
        <v>37</v>
      </c>
      <c r="C12" s="80" t="s">
        <v>61</v>
      </c>
      <c r="D12" s="80" t="s">
        <v>49</v>
      </c>
      <c r="E12" s="80" t="s">
        <v>99</v>
      </c>
      <c r="F12" s="80" t="s">
        <v>47</v>
      </c>
    </row>
    <row r="13" spans="1:6" ht="90" x14ac:dyDescent="0.5">
      <c r="A13" s="80" t="s">
        <v>36</v>
      </c>
      <c r="B13" s="80" t="s">
        <v>37</v>
      </c>
      <c r="C13" s="80" t="s">
        <v>54</v>
      </c>
      <c r="D13" s="80" t="s">
        <v>41</v>
      </c>
      <c r="E13" s="80" t="s">
        <v>100</v>
      </c>
      <c r="F13" s="80" t="s">
        <v>47</v>
      </c>
    </row>
  </sheetData>
  <autoFilter ref="A1:F13" xr:uid="{6C1059DE-A590-4119-9D28-B1069A06A275}"/>
  <phoneticPr fontId="27"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2.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工作表</vt:lpstr>
      </vt:variant>
      <vt:variant>
        <vt:i4>2</vt:i4>
      </vt:variant>
      <vt:variant>
        <vt:lpstr>命名范围</vt:lpstr>
      </vt:variant>
      <vt:variant>
        <vt:i4>5</vt:i4>
      </vt:variant>
    </vt:vector>
  </HeadingPairs>
  <TitlesOfParts>
    <vt:vector size="7" baseType="lpstr">
      <vt:lpstr>Project ACE</vt:lpstr>
      <vt:lpstr>EVENT</vt:lpstr>
      <vt:lpstr>'Project ACE'!Print_Titles</vt:lpstr>
      <vt:lpstr>'Project ACE'!task_end</vt:lpstr>
      <vt:lpstr>'Project ACE'!task_progress</vt:lpstr>
      <vt:lpstr>'Project ACE'!task_start</vt:lpstr>
      <vt:lpstr>显示周数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2025-11-27T01:23:45Z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