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lmillennium-my.sharepoint.com/personal/alu_solm_com/Documents/Alex Lu/Allergy Clinics/NPI Product Request/"/>
    </mc:Choice>
  </mc:AlternateContent>
  <xr:revisionPtr revIDLastSave="455" documentId="8_{50504D13-8F4C-4B45-AE77-B81F50B64D05}" xr6:coauthVersionLast="47" xr6:coauthVersionMax="47" xr10:uidLastSave="{8E8AC97B-9B96-4518-8737-85E9D7A74CD8}"/>
  <bookViews>
    <workbookView xWindow="-28920" yWindow="5100" windowWidth="29040" windowHeight="15720" tabRatio="515" xr2:uid="{7335D391-7064-47F2-AEBF-3B74ACA522CC}"/>
  </bookViews>
  <sheets>
    <sheet name="NPI P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L15" i="1"/>
  <c r="L11" i="1" l="1"/>
  <c r="L10" i="1"/>
  <c r="L9" i="1"/>
  <c r="L13" i="1" s="1"/>
</calcChain>
</file>

<file path=xl/sharedStrings.xml><?xml version="1.0" encoding="utf-8"?>
<sst xmlns="http://schemas.openxmlformats.org/spreadsheetml/2006/main" count="93" uniqueCount="43">
  <si>
    <t>BU9</t>
  </si>
  <si>
    <t>Fingernail Cleaner</t>
    <phoneticPr fontId="1" type="noConversion"/>
  </si>
  <si>
    <t>BU9</t>
    <phoneticPr fontId="1" type="noConversion"/>
  </si>
  <si>
    <t>BU</t>
    <phoneticPr fontId="1" type="noConversion"/>
  </si>
  <si>
    <t>Skin Marker</t>
  </si>
  <si>
    <t>Product Segment</t>
    <phoneticPr fontId="1" type="noConversion"/>
  </si>
  <si>
    <t>Product Category</t>
    <phoneticPr fontId="1" type="noConversion"/>
  </si>
  <si>
    <t>Medical Supply</t>
    <phoneticPr fontId="1" type="noConversion"/>
  </si>
  <si>
    <t>Gloves</t>
    <phoneticPr fontId="1" type="noConversion"/>
  </si>
  <si>
    <t>IPA Spray</t>
  </si>
  <si>
    <t>Plastic Dropper Bottle</t>
  </si>
  <si>
    <t>Sterile Chemotherapy (Chemo) Gloves</t>
  </si>
  <si>
    <t>Sterile AAMI Level 2 &amp; Level 3 Surgical Gowns</t>
  </si>
  <si>
    <t>Sterile Nitrile Gloves</t>
  </si>
  <si>
    <t>Glass Bottle &amp; Meter Pumps</t>
  </si>
  <si>
    <t>IPA Wipes</t>
  </si>
  <si>
    <t>SDP</t>
    <phoneticPr fontId="1" type="noConversion"/>
  </si>
  <si>
    <t>SPP</t>
    <phoneticPr fontId="1" type="noConversion"/>
  </si>
  <si>
    <t>PR Type</t>
    <phoneticPr fontId="1" type="noConversion"/>
  </si>
  <si>
    <t>Approved</t>
    <phoneticPr fontId="1" type="noConversion"/>
  </si>
  <si>
    <t>Y</t>
    <phoneticPr fontId="1" type="noConversion"/>
  </si>
  <si>
    <t>Product Name</t>
    <phoneticPr fontId="1" type="noConversion"/>
  </si>
  <si>
    <t>70% IPA Spray</t>
  </si>
  <si>
    <t>Glass Bottle &amp; Dropper Tip</t>
  </si>
  <si>
    <t>Packaging Components</t>
  </si>
  <si>
    <t>Glass Bottles / Dropper Tips</t>
  </si>
  <si>
    <t>Glass Bottles / Meter Pumps</t>
  </si>
  <si>
    <t>Skin Markers</t>
  </si>
  <si>
    <t>Fingernail Cleaner</t>
  </si>
  <si>
    <t>Surface Disinfection</t>
    <phoneticPr fontId="1" type="noConversion"/>
  </si>
  <si>
    <t>PPE</t>
    <phoneticPr fontId="1" type="noConversion"/>
  </si>
  <si>
    <t>Others</t>
    <phoneticPr fontId="1" type="noConversion"/>
  </si>
  <si>
    <t xml:space="preserve">Gowns </t>
    <phoneticPr fontId="1" type="noConversion"/>
  </si>
  <si>
    <t>Product Line</t>
    <phoneticPr fontId="1" type="noConversion"/>
  </si>
  <si>
    <t>√</t>
    <phoneticPr fontId="1" type="noConversion"/>
  </si>
  <si>
    <t>Plastic Bottles / Meter Pumps</t>
    <phoneticPr fontId="1" type="noConversion"/>
  </si>
  <si>
    <t>Plastic Bottles &amp; Meter Pumps</t>
    <phoneticPr fontId="1" type="noConversion"/>
  </si>
  <si>
    <r>
      <t>Sterile Pre</t>
    </r>
    <r>
      <rPr>
        <sz val="11"/>
        <color theme="1"/>
        <rFont val="Cambria Math"/>
        <family val="1"/>
        <charset val="1"/>
      </rPr>
      <t>‑</t>
    </r>
    <r>
      <rPr>
        <sz val="11"/>
        <color theme="1"/>
        <rFont val="等线"/>
        <family val="3"/>
        <charset val="134"/>
        <scheme val="minor"/>
      </rPr>
      <t>Wetted with 70% IPA Wipers</t>
    </r>
    <phoneticPr fontId="1" type="noConversion"/>
  </si>
  <si>
    <t>PR submit</t>
    <phoneticPr fontId="1" type="noConversion"/>
  </si>
  <si>
    <t>Sales Forcast</t>
    <phoneticPr fontId="1" type="noConversion"/>
  </si>
  <si>
    <t>Est Revernue</t>
    <phoneticPr fontId="1" type="noConversion"/>
  </si>
  <si>
    <t>Est GM%</t>
    <phoneticPr fontId="1" type="noConversion"/>
  </si>
  <si>
    <t>Est GP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</si>
</sst>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76" formatCode="_ * #,##0_ ;_ * \-#,##0_ ;_ * &quot;-&quot;??_ ;_ @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mbria Math"/>
      <family val="1"/>
      <charset val="1"/>
    </font>
    <font>
      <sz val="11"/>
      <color theme="1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0" borderId="1" xfId="0" applyFont="1" applyBorder="1"/>
    <xf numFmtId="0" fontId="2" fillId="0" borderId="2" xfId="0" applyFont="1" applyBorder="1"/>
    <xf numFmtId="176" fontId="2" fillId="0" borderId="2" xfId="1" applyNumberFormat="1" applyFont="1" applyFill="1" applyBorder="1" applyAlignment="1"/>
    <xf numFmtId="176" fontId="0" fillId="0" borderId="0" xfId="1" applyNumberFormat="1" applyFont="1" applyAlignment="1"/>
    <xf numFmtId="9" fontId="0" fillId="0" borderId="0" xfId="2" applyFont="1" applyAlignment="1"/>
  </cellXfs>
  <cellStyles count="3">
    <cellStyle name="百分比" xfId="2" builtinId="5"/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2463-91B5-4FF1-B67F-682A66951411}">
  <dimension ref="A1:M15"/>
  <sheetViews>
    <sheetView tabSelected="1" zoomScale="115" zoomScaleNormal="115" workbookViewId="0">
      <selection activeCell="L15" sqref="L15"/>
    </sheetView>
  </sheetViews>
  <sheetFormatPr defaultRowHeight="13.9" x14ac:dyDescent="0.4"/>
  <cols>
    <col min="1" max="1" width="43.3984375" customWidth="1"/>
    <col min="2" max="2" width="5" bestFit="1" customWidth="1"/>
    <col min="3" max="3" width="17.53125" bestFit="1" customWidth="1"/>
    <col min="4" max="4" width="27" bestFit="1" customWidth="1"/>
    <col min="5" max="5" width="27.33203125" bestFit="1" customWidth="1"/>
    <col min="6" max="6" width="8.265625" bestFit="1" customWidth="1"/>
    <col min="7" max="7" width="9.796875" bestFit="1" customWidth="1"/>
    <col min="9" max="9" width="12.796875" style="6" bestFit="1" customWidth="1"/>
    <col min="10" max="10" width="11.33203125" style="6" bestFit="1" customWidth="1"/>
    <col min="12" max="12" width="11.33203125" style="6" bestFit="1" customWidth="1"/>
  </cols>
  <sheetData>
    <row r="1" spans="1:13" x14ac:dyDescent="0.4">
      <c r="A1" s="3" t="s">
        <v>21</v>
      </c>
      <c r="B1" s="1" t="s">
        <v>3</v>
      </c>
      <c r="C1" s="3" t="s">
        <v>5</v>
      </c>
      <c r="D1" s="1" t="s">
        <v>6</v>
      </c>
      <c r="E1" s="1" t="s">
        <v>33</v>
      </c>
      <c r="F1" s="3" t="s">
        <v>18</v>
      </c>
      <c r="G1" s="3" t="s">
        <v>19</v>
      </c>
      <c r="H1" s="4" t="s">
        <v>38</v>
      </c>
      <c r="I1" s="5" t="s">
        <v>39</v>
      </c>
      <c r="J1" s="5" t="s">
        <v>40</v>
      </c>
      <c r="K1" s="4" t="s">
        <v>41</v>
      </c>
      <c r="L1" s="5" t="s">
        <v>42</v>
      </c>
    </row>
    <row r="2" spans="1:13" ht="83.65" x14ac:dyDescent="6.65">
      <c r="A2" s="1" t="s">
        <v>37</v>
      </c>
      <c r="B2" s="1" t="s">
        <v>0</v>
      </c>
      <c r="C2" s="1" t="s">
        <v>7</v>
      </c>
      <c r="D2" s="2" t="s">
        <v>29</v>
      </c>
      <c r="E2" s="2" t="s">
        <v>15</v>
      </c>
      <c r="F2" s="1" t="s">
        <v>16</v>
      </c>
      <c r="G2" s="1" t="s">
        <v>20</v>
      </c>
      <c r="H2" t="s">
        <v>34</v>
      </c>
      <c r="K2" s="7">
        <v>0.1</v>
      </c>
    </row>
    <row r="3" spans="1:13" x14ac:dyDescent="0.4">
      <c r="A3" s="1" t="s">
        <v>22</v>
      </c>
      <c r="B3" s="1" t="s">
        <v>0</v>
      </c>
      <c r="C3" s="1" t="s">
        <v>7</v>
      </c>
      <c r="D3" s="2" t="s">
        <v>29</v>
      </c>
      <c r="E3" s="2" t="s">
        <v>9</v>
      </c>
      <c r="F3" s="1" t="s">
        <v>16</v>
      </c>
      <c r="G3" s="1" t="s">
        <v>20</v>
      </c>
      <c r="H3" t="s">
        <v>34</v>
      </c>
      <c r="K3" s="7">
        <v>0.1</v>
      </c>
    </row>
    <row r="4" spans="1:13" x14ac:dyDescent="0.4">
      <c r="A4" s="1" t="s">
        <v>23</v>
      </c>
      <c r="B4" s="1" t="s">
        <v>0</v>
      </c>
      <c r="C4" s="1" t="s">
        <v>7</v>
      </c>
      <c r="D4" s="2" t="s">
        <v>24</v>
      </c>
      <c r="E4" s="2" t="s">
        <v>25</v>
      </c>
      <c r="F4" s="1" t="s">
        <v>16</v>
      </c>
      <c r="G4" s="1"/>
      <c r="K4" s="7">
        <v>0.1</v>
      </c>
    </row>
    <row r="5" spans="1:13" x14ac:dyDescent="0.4">
      <c r="A5" s="1" t="s">
        <v>14</v>
      </c>
      <c r="B5" s="1" t="s">
        <v>0</v>
      </c>
      <c r="C5" s="1" t="s">
        <v>7</v>
      </c>
      <c r="D5" s="2" t="s">
        <v>24</v>
      </c>
      <c r="E5" s="2" t="s">
        <v>26</v>
      </c>
      <c r="F5" s="1" t="s">
        <v>16</v>
      </c>
      <c r="G5" s="1"/>
      <c r="K5" s="7">
        <v>0.1</v>
      </c>
    </row>
    <row r="6" spans="1:13" x14ac:dyDescent="0.4">
      <c r="A6" s="1" t="s">
        <v>13</v>
      </c>
      <c r="B6" s="1" t="s">
        <v>0</v>
      </c>
      <c r="C6" s="1" t="s">
        <v>7</v>
      </c>
      <c r="D6" s="2" t="s">
        <v>30</v>
      </c>
      <c r="E6" s="2" t="s">
        <v>8</v>
      </c>
      <c r="F6" s="1" t="s">
        <v>16</v>
      </c>
      <c r="G6" s="1"/>
      <c r="H6" t="s">
        <v>34</v>
      </c>
      <c r="K6" s="7">
        <v>0.1</v>
      </c>
    </row>
    <row r="7" spans="1:13" x14ac:dyDescent="0.4">
      <c r="A7" s="1" t="s">
        <v>11</v>
      </c>
      <c r="B7" s="1" t="s">
        <v>0</v>
      </c>
      <c r="C7" s="1" t="s">
        <v>7</v>
      </c>
      <c r="D7" s="2" t="s">
        <v>30</v>
      </c>
      <c r="E7" s="2" t="s">
        <v>8</v>
      </c>
      <c r="F7" s="1" t="s">
        <v>16</v>
      </c>
      <c r="G7" s="1"/>
      <c r="H7" t="s">
        <v>34</v>
      </c>
      <c r="K7" s="7">
        <v>0.1</v>
      </c>
    </row>
    <row r="8" spans="1:13" x14ac:dyDescent="0.4">
      <c r="A8" s="1" t="s">
        <v>12</v>
      </c>
      <c r="B8" s="1" t="s">
        <v>0</v>
      </c>
      <c r="C8" s="1" t="s">
        <v>7</v>
      </c>
      <c r="D8" s="2" t="s">
        <v>30</v>
      </c>
      <c r="E8" s="2" t="s">
        <v>32</v>
      </c>
      <c r="F8" s="1" t="s">
        <v>16</v>
      </c>
      <c r="G8" s="1"/>
      <c r="H8" t="s">
        <v>34</v>
      </c>
      <c r="K8" s="7">
        <v>0.1</v>
      </c>
    </row>
    <row r="9" spans="1:13" x14ac:dyDescent="0.4">
      <c r="A9" s="1" t="s">
        <v>36</v>
      </c>
      <c r="B9" s="1" t="s">
        <v>2</v>
      </c>
      <c r="C9" s="1" t="s">
        <v>7</v>
      </c>
      <c r="D9" s="2" t="s">
        <v>24</v>
      </c>
      <c r="E9" s="2" t="s">
        <v>35</v>
      </c>
      <c r="F9" s="1" t="s">
        <v>17</v>
      </c>
      <c r="G9" s="1" t="s">
        <v>20</v>
      </c>
      <c r="H9" t="s">
        <v>34</v>
      </c>
      <c r="I9" s="6">
        <v>1200000</v>
      </c>
      <c r="J9" s="6">
        <v>720000</v>
      </c>
      <c r="K9" s="7">
        <v>0.4</v>
      </c>
      <c r="L9" s="6">
        <f>J9*K9</f>
        <v>288000</v>
      </c>
    </row>
    <row r="10" spans="1:13" x14ac:dyDescent="0.4">
      <c r="A10" s="1" t="s">
        <v>10</v>
      </c>
      <c r="B10" s="1" t="s">
        <v>2</v>
      </c>
      <c r="C10" s="1" t="s">
        <v>7</v>
      </c>
      <c r="D10" s="2" t="s">
        <v>24</v>
      </c>
      <c r="E10" s="2" t="s">
        <v>10</v>
      </c>
      <c r="F10" s="1" t="s">
        <v>17</v>
      </c>
      <c r="G10" s="1" t="s">
        <v>20</v>
      </c>
      <c r="H10" t="s">
        <v>34</v>
      </c>
      <c r="I10" s="6">
        <v>300000</v>
      </c>
      <c r="J10" s="6">
        <v>450000</v>
      </c>
      <c r="K10" s="7">
        <v>0.3</v>
      </c>
      <c r="L10" s="6">
        <f>J10*K10</f>
        <v>135000</v>
      </c>
    </row>
    <row r="11" spans="1:13" x14ac:dyDescent="0.4">
      <c r="A11" s="1" t="s">
        <v>4</v>
      </c>
      <c r="B11" s="1" t="s">
        <v>0</v>
      </c>
      <c r="C11" s="1" t="s">
        <v>7</v>
      </c>
      <c r="D11" s="1" t="s">
        <v>31</v>
      </c>
      <c r="E11" s="2" t="s">
        <v>27</v>
      </c>
      <c r="F11" s="1" t="s">
        <v>17</v>
      </c>
      <c r="G11" s="1" t="s">
        <v>20</v>
      </c>
      <c r="H11" t="s">
        <v>34</v>
      </c>
      <c r="I11" s="6">
        <v>300000</v>
      </c>
      <c r="J11" s="6">
        <v>195000</v>
      </c>
      <c r="K11" s="7">
        <v>0.3</v>
      </c>
      <c r="L11" s="6">
        <f>J11*K11</f>
        <v>58500</v>
      </c>
    </row>
    <row r="12" spans="1:13" x14ac:dyDescent="0.4">
      <c r="A12" s="1" t="s">
        <v>28</v>
      </c>
      <c r="B12" s="1" t="s">
        <v>0</v>
      </c>
      <c r="C12" s="1" t="s">
        <v>7</v>
      </c>
      <c r="D12" s="1" t="s">
        <v>31</v>
      </c>
      <c r="E12" s="2" t="s">
        <v>1</v>
      </c>
      <c r="F12" s="1" t="s">
        <v>17</v>
      </c>
      <c r="G12" s="1" t="s">
        <v>20</v>
      </c>
      <c r="H12" t="s">
        <v>34</v>
      </c>
    </row>
    <row r="13" spans="1:13" x14ac:dyDescent="0.4">
      <c r="L13" s="6">
        <f>SUM(L2:L12)</f>
        <v>481500</v>
      </c>
    </row>
    <row r="15" spans="1:13" x14ac:dyDescent="0.4">
      <c r="J15" s="6">
        <f>L15/K15</f>
        <v>283333.33333333337</v>
      </c>
      <c r="K15" s="7">
        <v>0.3</v>
      </c>
      <c r="L15" s="6">
        <f>M15*0.05</f>
        <v>85000</v>
      </c>
      <c r="M15" s="6">
        <v>1700000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NPI 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Lu</dc:creator>
  <cp:lastModifiedBy>Alex Lu</cp:lastModifiedBy>
  <dcterms:created xsi:type="dcterms:W3CDTF">2026-01-26T01:52:27Z</dcterms:created>
  <dcterms:modified xsi:type="dcterms:W3CDTF">2026-03-04T02:26:00Z</dcterms:modified>
</cp:coreProperties>
</file>